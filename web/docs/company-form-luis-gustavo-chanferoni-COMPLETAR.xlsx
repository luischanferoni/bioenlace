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olicitud" sheetId="1" state="visible" r:id="rId1"/>
    <sheet xmlns:r="http://schemas.openxmlformats.org/officeDocument/2006/relationships" name="BIR FORM" sheetId="2" state="visible" r:id="rId2"/>
    <sheet xmlns:r="http://schemas.openxmlformats.org/officeDocument/2006/relationships" name="Sheet1" sheetId="3" state="hidden" r:id="rId3"/>
  </sheets>
  <definedNames>
    <definedName name="Cinco">#REF!</definedName>
    <definedName name="Cuatro">#REF!</definedName>
    <definedName name="Diez">#REF!</definedName>
    <definedName name="Doce">#REF!</definedName>
    <definedName name="Dos">#REF!</definedName>
    <definedName name="lista">#REF!</definedName>
    <definedName name="Nueve">#REF!</definedName>
    <definedName name="Ocho">#REF!</definedName>
    <definedName name="Once">#REF!</definedName>
    <definedName name="Porcentaje">#REF!</definedName>
    <definedName name="Representante">#REF!</definedName>
    <definedName name="Seis">#REF!</definedName>
    <definedName name="Siete">#REF!</definedName>
    <definedName name="TrataDos">#REF!</definedName>
    <definedName name="Tratamiento">#REF!</definedName>
    <definedName name="Tres">#REF!</definedName>
    <definedName name="Uno">#REF!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-&quot;$&quot;* #,##0.00_-;\-&quot;$&quot;* #,##0.00_-;_-&quot;$&quot;* &quot;-&quot;??_-;_-@_-"/>
    <numFmt numFmtId="165" formatCode="[$-2C0A]d&quot; de &quot;mmmm&quot; de &quot;yyyy;@"/>
    <numFmt numFmtId="166" formatCode="_-&quot;$&quot;* #,##0.00_-;\-&quot;$&quot;* #,##0.00_-;_-&quot;$&quot;* &quot;-&quot;??_-;_-@"/>
    <numFmt numFmtId="167" formatCode="dd/mm/yyyy;@"/>
  </numFmts>
  <fonts count="5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Calibri"/>
      <family val="2"/>
      <sz val="8"/>
      <scheme val="minor"/>
    </font>
    <font>
      <name val="Calibri"/>
      <family val="2"/>
      <color theme="10"/>
      <sz val="11"/>
      <u val="single"/>
      <scheme val="minor"/>
    </font>
    <font>
      <name val="Open Sans"/>
      <family val="2"/>
      <color theme="2" tint="-0.249977111117893"/>
      <sz val="8"/>
      <u val="single"/>
    </font>
    <font>
      <name val="Open Sans"/>
      <family val="2"/>
      <b val="1"/>
      <color rgb="FF005172"/>
      <sz val="22"/>
    </font>
    <font>
      <name val="Open Sans"/>
      <family val="2"/>
      <color theme="1"/>
      <sz val="11"/>
    </font>
    <font>
      <name val="Open Sans"/>
      <family val="2"/>
      <color theme="2" tint="-0.499984740745262"/>
      <sz val="16"/>
    </font>
    <font>
      <name val="Open Sans"/>
      <family val="2"/>
      <color theme="2" tint="-0.499984740745262"/>
      <sz val="11"/>
    </font>
    <font>
      <name val="Open Sans"/>
      <family val="2"/>
      <b val="1"/>
      <color theme="0"/>
      <sz val="14"/>
    </font>
    <font>
      <name val="Open Sans"/>
      <family val="2"/>
      <color theme="1"/>
      <sz val="12"/>
    </font>
    <font>
      <name val="Open Sans"/>
      <family val="2"/>
      <color theme="1"/>
      <sz val="8"/>
    </font>
    <font>
      <name val="Open Sans"/>
      <family val="2"/>
      <color theme="0"/>
      <sz val="12"/>
    </font>
    <font>
      <name val="Open Sans"/>
      <family val="2"/>
      <color theme="0"/>
      <sz val="11"/>
    </font>
    <font>
      <name val="Open Sans"/>
      <family val="2"/>
      <b val="1"/>
      <color theme="0"/>
      <sz val="11"/>
    </font>
    <font>
      <name val="Open Sans"/>
      <family val="2"/>
      <b val="1"/>
      <color theme="1"/>
      <sz val="14"/>
    </font>
    <font>
      <name val="Open Sans"/>
      <family val="2"/>
      <b val="1"/>
      <color theme="1"/>
      <sz val="11"/>
    </font>
    <font>
      <name val="Open Sans"/>
      <family val="2"/>
      <b val="1"/>
      <color theme="0"/>
      <sz val="12"/>
    </font>
    <font>
      <name val="Open Sans"/>
      <family val="2"/>
      <color theme="1"/>
      <sz val="14"/>
    </font>
    <font>
      <name val="Open Sans"/>
      <family val="2"/>
      <b val="1"/>
      <color theme="0"/>
      <sz val="16"/>
    </font>
    <font>
      <name val="Open Sans"/>
      <family val="2"/>
      <b val="1"/>
      <color rgb="FF005172"/>
      <sz val="12"/>
    </font>
    <font>
      <name val="Calibri"/>
      <family val="2"/>
      <color theme="2" tint="-0.249977111117893"/>
      <sz val="8"/>
      <u val="single"/>
      <scheme val="minor"/>
    </font>
    <font>
      <name val="Open Sans"/>
      <family val="2"/>
      <b val="1"/>
      <color rgb="FF005172"/>
      <sz val="14"/>
    </font>
    <font>
      <name val="Open Sans"/>
      <family val="2"/>
      <b val="1"/>
      <color rgb="FF3095B4"/>
      <sz val="12"/>
    </font>
    <font>
      <name val="Open Sans"/>
      <family val="2"/>
      <color theme="2" tint="-0.749992370372631"/>
      <sz val="11"/>
    </font>
    <font>
      <name val="Open Sans"/>
      <family val="2"/>
      <b val="1"/>
      <color rgb="FF3095B4"/>
      <sz val="11"/>
    </font>
    <font>
      <name val="Open Sans"/>
      <family val="2"/>
      <color rgb="FF005172"/>
      <sz val="11"/>
    </font>
    <font>
      <name val="Open Sans"/>
      <family val="2"/>
      <b val="1"/>
      <color rgb="FF005172"/>
      <sz val="11"/>
    </font>
    <font>
      <name val="Open Sans"/>
      <family val="2"/>
      <b val="1"/>
      <color theme="2" tint="-0.749992370372631"/>
      <sz val="14"/>
    </font>
    <font>
      <name val="Open Sans"/>
      <family val="2"/>
      <color theme="0"/>
      <sz val="14"/>
    </font>
    <font>
      <name val="Open Sans"/>
      <family val="2"/>
      <b val="1"/>
      <color theme="2" tint="-0.749992370372631"/>
      <sz val="12"/>
    </font>
    <font>
      <name val="Calibri"/>
      <family val="2"/>
      <color theme="0"/>
      <sz val="11"/>
      <scheme val="minor"/>
    </font>
    <font>
      <name val="Open Sans"/>
      <family val="2"/>
      <color rgb="FF3095B4"/>
      <sz val="11"/>
    </font>
    <font>
      <name val="Calibri"/>
      <family val="2"/>
      <color theme="0"/>
      <sz val="14"/>
      <scheme val="minor"/>
    </font>
    <font>
      <name val="Open Sans"/>
      <family val="2"/>
      <b val="1"/>
      <color theme="2" tint="-0.499984740745262"/>
      <sz val="11"/>
    </font>
    <font>
      <name val="Open Sans"/>
      <family val="2"/>
      <color theme="1" tint="0.249977111117893"/>
      <sz val="12"/>
    </font>
    <font>
      <name val="Open Sans"/>
      <family val="2"/>
      <color theme="1" tint="0.249977111117893"/>
      <sz val="11"/>
    </font>
    <font>
      <name val="Open Sans"/>
      <family val="2"/>
      <color theme="1" tint="0.1499984740745262"/>
      <sz val="11"/>
    </font>
    <font>
      <name val="Open Sans"/>
      <family val="2"/>
      <color theme="1" tint="0.3499862666707358"/>
      <sz val="11"/>
    </font>
    <font>
      <name val="Open Sans"/>
      <family val="2"/>
      <b val="1"/>
      <color theme="1"/>
      <sz val="10"/>
    </font>
    <font>
      <name val="Open Sans"/>
      <family val="2"/>
      <b val="1"/>
      <color rgb="FF00B050"/>
      <sz val="11"/>
    </font>
    <font>
      <name val="Open Sans"/>
      <family val="2"/>
      <i val="1"/>
      <color rgb="FF005172"/>
      <sz val="11"/>
    </font>
    <font>
      <name val="Open Sans"/>
      <family val="2"/>
      <color theme="2" tint="-0.499984740745262"/>
      <sz val="12"/>
    </font>
    <font>
      <name val="Open Sans"/>
      <family val="2"/>
      <color theme="10"/>
      <sz val="11"/>
      <u val="single"/>
    </font>
    <font>
      <name val="Open Sans"/>
      <family val="2"/>
      <b val="1"/>
      <color theme="2" tint="-0.499984740745262"/>
      <sz val="12"/>
    </font>
    <font>
      <name val="Open Sans"/>
      <family val="2"/>
      <color theme="0" tint="-0.499984740745262"/>
      <sz val="8"/>
    </font>
    <font>
      <name val="Open Sans"/>
      <family val="2"/>
      <color rgb="FFFF0000"/>
      <sz val="12"/>
    </font>
    <font>
      <name val="Open Sans"/>
      <family val="2"/>
      <b val="1"/>
      <color theme="1"/>
      <sz val="12"/>
    </font>
    <font>
      <name val="Calibri"/>
      <family val="2"/>
      <b val="1"/>
      <color theme="1"/>
      <sz val="11"/>
      <scheme val="minor"/>
    </font>
    <font>
      <name val="Open Sans"/>
      <family val="2"/>
      <b val="1"/>
      <color rgb="FFFF0000"/>
      <sz val="18"/>
    </font>
    <font>
      <name val="Calibri"/>
      <family val="2"/>
      <sz val="11"/>
      <scheme val="minor"/>
    </font>
    <font>
      <name val="Calibri"/>
      <family val="2"/>
      <color theme="1"/>
      <sz val="11"/>
      <u val="single"/>
      <scheme val="minor"/>
    </font>
  </fonts>
  <fills count="12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0051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172"/>
        <bgColor rgb="FF014F6E"/>
      </patternFill>
    </fill>
    <fill>
      <patternFill patternType="solid">
        <fgColor rgb="FF005172"/>
        <bgColor rgb="FF3F97B5"/>
      </patternFill>
    </fill>
    <fill>
      <patternFill patternType="solid">
        <fgColor theme="0" tint="-0.1499984740745262"/>
        <bgColor rgb="FF014F6E"/>
      </patternFill>
    </fill>
    <fill>
      <patternFill patternType="solid">
        <fgColor theme="0" tint="-0.0499893185216834"/>
        <bgColor rgb="FF3F97B5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16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dotted">
        <color rgb="FF3095B4"/>
      </left>
      <right style="dotted">
        <color rgb="FF3095B4"/>
      </right>
      <top style="dotted">
        <color rgb="FF3095B4"/>
      </top>
      <bottom style="dotted">
        <color rgb="FF3095B4"/>
      </bottom>
      <diagonal/>
    </border>
    <border>
      <left style="medium">
        <color rgb="FF3095B4"/>
      </left>
      <right/>
      <top style="medium">
        <color rgb="FF3095B4"/>
      </top>
      <bottom/>
      <diagonal/>
    </border>
    <border>
      <left/>
      <right/>
      <top style="medium">
        <color rgb="FF3095B4"/>
      </top>
      <bottom/>
      <diagonal/>
    </border>
    <border>
      <left/>
      <right style="medium">
        <color rgb="FF3095B4"/>
      </right>
      <top style="medium">
        <color rgb="FF3095B4"/>
      </top>
      <bottom/>
      <diagonal/>
    </border>
    <border>
      <left style="medium">
        <color rgb="FF3095B4"/>
      </left>
      <right/>
      <top/>
      <bottom/>
      <diagonal/>
    </border>
    <border>
      <left/>
      <right style="medium">
        <color rgb="FF3095B4"/>
      </right>
      <top/>
      <bottom/>
      <diagonal/>
    </border>
    <border>
      <left style="medium">
        <color rgb="FF3095B4"/>
      </left>
      <right/>
      <top/>
      <bottom style="medium">
        <color rgb="FF3095B4"/>
      </bottom>
      <diagonal/>
    </border>
    <border>
      <left/>
      <right/>
      <top/>
      <bottom style="medium">
        <color rgb="FF3095B4"/>
      </bottom>
      <diagonal/>
    </border>
    <border>
      <left/>
      <right style="medium">
        <color rgb="FF3095B4"/>
      </right>
      <top/>
      <bottom style="medium">
        <color rgb="FF3095B4"/>
      </bottom>
      <diagonal/>
    </border>
    <border>
      <left style="dotted">
        <color rgb="FF3095B4"/>
      </left>
      <right style="dotted">
        <color rgb="FF3095B4"/>
      </right>
      <top/>
      <bottom style="dotted">
        <color rgb="FF3095B4"/>
      </bottom>
      <diagonal/>
    </border>
    <border>
      <left style="medium">
        <color rgb="FF3095B4"/>
      </left>
      <right style="dotted">
        <color rgb="FF3095B4"/>
      </right>
      <top style="medium">
        <color rgb="FF3095B4"/>
      </top>
      <bottom style="medium">
        <color rgb="FF3095B4"/>
      </bottom>
      <diagonal/>
    </border>
    <border>
      <left style="dotted">
        <color rgb="FF3095B4"/>
      </left>
      <right style="dotted">
        <color rgb="FF3095B4"/>
      </right>
      <top style="medium">
        <color rgb="FF3095B4"/>
      </top>
      <bottom style="medium">
        <color rgb="FF3095B4"/>
      </bottom>
      <diagonal/>
    </border>
    <border>
      <left style="dotted">
        <color rgb="FF3095B4"/>
      </left>
      <right style="medium">
        <color rgb="FF3095B4"/>
      </right>
      <top style="medium">
        <color rgb="FF3095B4"/>
      </top>
      <bottom style="medium">
        <color rgb="FF3095B4"/>
      </bottom>
      <diagonal/>
    </border>
    <border>
      <left style="medium">
        <color rgb="FF3095B4"/>
      </left>
      <right style="dotted">
        <color rgb="FF3095B4"/>
      </right>
      <top/>
      <bottom style="dotted">
        <color rgb="FF3095B4"/>
      </bottom>
      <diagonal/>
    </border>
    <border>
      <left style="dotted">
        <color rgb="FF3095B4"/>
      </left>
      <right style="medium">
        <color rgb="FF3095B4"/>
      </right>
      <top/>
      <bottom style="dotted">
        <color rgb="FF3095B4"/>
      </bottom>
      <diagonal/>
    </border>
    <border>
      <left style="medium">
        <color rgb="FF3095B4"/>
      </left>
      <right style="dotted">
        <color rgb="FF3095B4"/>
      </right>
      <top style="dotted">
        <color rgb="FF3095B4"/>
      </top>
      <bottom style="dotted">
        <color rgb="FF3095B4"/>
      </bottom>
      <diagonal/>
    </border>
    <border>
      <left style="dotted">
        <color rgb="FF3095B4"/>
      </left>
      <right style="medium">
        <color rgb="FF3095B4"/>
      </right>
      <top style="dotted">
        <color rgb="FF3095B4"/>
      </top>
      <bottom style="dotted">
        <color rgb="FF3095B4"/>
      </bottom>
      <diagonal/>
    </border>
    <border>
      <left style="medium">
        <color rgb="FF3095B4"/>
      </left>
      <right style="dotted">
        <color rgb="FF3095B4"/>
      </right>
      <top style="dotted">
        <color rgb="FF3095B4"/>
      </top>
      <bottom style="medium">
        <color rgb="FF3095B4"/>
      </bottom>
      <diagonal/>
    </border>
    <border>
      <left style="dotted">
        <color rgb="FF3095B4"/>
      </left>
      <right style="dotted">
        <color rgb="FF3095B4"/>
      </right>
      <top style="dotted">
        <color rgb="FF3095B4"/>
      </top>
      <bottom style="medium">
        <color rgb="FF3095B4"/>
      </bottom>
      <diagonal/>
    </border>
    <border>
      <left style="dotted">
        <color rgb="FF3095B4"/>
      </left>
      <right style="medium">
        <color rgb="FF3095B4"/>
      </right>
      <top style="dotted">
        <color rgb="FF3095B4"/>
      </top>
      <bottom style="medium">
        <color rgb="FF3095B4"/>
      </bottom>
      <diagonal/>
    </border>
    <border>
      <left style="medium">
        <color rgb="FF3095B4"/>
      </left>
      <right/>
      <top style="medium">
        <color rgb="FF3095B4"/>
      </top>
      <bottom style="medium">
        <color rgb="FF3095B4"/>
      </bottom>
      <diagonal/>
    </border>
    <border>
      <left/>
      <right/>
      <top style="medium">
        <color rgb="FF3095B4"/>
      </top>
      <bottom style="medium">
        <color rgb="FF3095B4"/>
      </bottom>
      <diagonal/>
    </border>
    <border>
      <left/>
      <right style="medium">
        <color rgb="FF3095B4"/>
      </right>
      <top style="medium">
        <color rgb="FF3095B4"/>
      </top>
      <bottom style="medium">
        <color rgb="FF3095B4"/>
      </bottom>
      <diagonal/>
    </border>
    <border>
      <left style="dotted">
        <color rgb="FF3095B4"/>
      </left>
      <right style="dotted">
        <color rgb="FF3095B4"/>
      </right>
      <top style="dotted">
        <color rgb="FF3095B4"/>
      </top>
      <bottom/>
      <diagonal/>
    </border>
    <border>
      <left style="medium">
        <color rgb="FF3095B4"/>
      </left>
      <right style="dotted">
        <color rgb="FF3095B4"/>
      </right>
      <top style="medium">
        <color rgb="FF3095B4"/>
      </top>
      <bottom style="dotted">
        <color rgb="FF3095B4"/>
      </bottom>
      <diagonal/>
    </border>
    <border>
      <left style="dotted">
        <color rgb="FF3095B4"/>
      </left>
      <right style="dotted">
        <color rgb="FF3095B4"/>
      </right>
      <top style="medium">
        <color rgb="FF3095B4"/>
      </top>
      <bottom style="dotted">
        <color rgb="FF3095B4"/>
      </bottom>
      <diagonal/>
    </border>
    <border>
      <left style="dotted">
        <color rgb="FF3095B4"/>
      </left>
      <right style="medium">
        <color rgb="FF3095B4"/>
      </right>
      <top style="medium">
        <color rgb="FF3095B4"/>
      </top>
      <bottom style="dotted">
        <color rgb="FF3095B4"/>
      </bottom>
      <diagonal/>
    </border>
    <border>
      <left/>
      <right style="dotted">
        <color rgb="FF3095B4"/>
      </right>
      <top style="dotted">
        <color rgb="FF3095B4"/>
      </top>
      <bottom style="dotted">
        <color rgb="FF3095B4"/>
      </bottom>
      <diagonal/>
    </border>
    <border>
      <left/>
      <right style="dotted">
        <color rgb="FF3095B4"/>
      </right>
      <top/>
      <bottom style="dotted">
        <color rgb="FF3095B4"/>
      </bottom>
      <diagonal/>
    </border>
    <border>
      <left style="dotted">
        <color rgb="FF3095B4"/>
      </left>
      <right/>
      <top style="dotted">
        <color rgb="FF3095B4"/>
      </top>
      <bottom/>
      <diagonal/>
    </border>
    <border>
      <left/>
      <right/>
      <top style="dotted">
        <color rgb="FF3095B4"/>
      </top>
      <bottom/>
      <diagonal/>
    </border>
    <border>
      <left/>
      <right style="medium">
        <color rgb="FF3095B4"/>
      </right>
      <top style="dotted">
        <color rgb="FF3095B4"/>
      </top>
      <bottom/>
      <diagonal/>
    </border>
    <border>
      <left style="dotted">
        <color rgb="FF3095B4"/>
      </left>
      <right/>
      <top/>
      <bottom/>
      <diagonal/>
    </border>
    <border>
      <left style="dotted">
        <color rgb="FF3095B4"/>
      </left>
      <right/>
      <top/>
      <bottom style="medium">
        <color rgb="FF3095B4"/>
      </bottom>
      <diagonal/>
    </border>
    <border>
      <left/>
      <right style="dotted">
        <color rgb="FF3095B4"/>
      </right>
      <top style="dotted">
        <color rgb="FF3095B4"/>
      </top>
      <bottom style="medium">
        <color rgb="FF3095B4"/>
      </bottom>
      <diagonal/>
    </border>
    <border>
      <left style="medium">
        <color rgb="FF3095B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3095B4"/>
      </left>
      <right style="thin">
        <color indexed="64"/>
      </right>
      <top style="thin">
        <color indexed="64"/>
      </top>
      <bottom style="medium">
        <color rgb="FF3095B4"/>
      </bottom>
      <diagonal/>
    </border>
    <border>
      <left/>
      <right style="medium">
        <color rgb="FF3095B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3095B4"/>
      </bottom>
      <diagonal/>
    </border>
    <border>
      <left/>
      <right/>
      <top style="thin">
        <color indexed="64"/>
      </top>
      <bottom style="medium">
        <color rgb="FF3095B4"/>
      </bottom>
      <diagonal/>
    </border>
    <border>
      <left/>
      <right style="medium">
        <color rgb="FF3095B4"/>
      </right>
      <top style="thin">
        <color indexed="64"/>
      </top>
      <bottom style="medium">
        <color rgb="FF3095B4"/>
      </bottom>
      <diagonal/>
    </border>
    <border>
      <left style="medium">
        <color rgb="FF3095B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3095B4"/>
      </right>
      <top/>
      <bottom style="thin">
        <color indexed="64"/>
      </bottom>
      <diagonal/>
    </border>
    <border>
      <left style="medium">
        <color rgb="FF3095B4"/>
      </left>
      <right/>
      <top style="dotted">
        <color rgb="FF3095B4"/>
      </top>
      <bottom/>
      <diagonal/>
    </border>
    <border>
      <left style="medium">
        <color rgb="FF3095B4"/>
      </left>
      <right style="dotted">
        <color rgb="FF3095B4"/>
      </right>
      <top/>
      <bottom/>
      <diagonal/>
    </border>
    <border>
      <left style="dotted">
        <color rgb="FF3095B4"/>
      </left>
      <right style="dotted">
        <color rgb="FF3095B4"/>
      </right>
      <top/>
      <bottom/>
      <diagonal/>
    </border>
    <border>
      <left style="dotted">
        <color rgb="FF3095B4"/>
      </left>
      <right/>
      <top/>
      <bottom style="dotted">
        <color rgb="FF3095B4"/>
      </bottom>
      <diagonal/>
    </border>
    <border>
      <left/>
      <right/>
      <top/>
      <bottom style="dotted">
        <color rgb="FF3095B4"/>
      </bottom>
      <diagonal/>
    </border>
    <border>
      <left/>
      <right style="medium">
        <color rgb="FF3095B4"/>
      </right>
      <top/>
      <bottom style="dotted">
        <color rgb="FF3095B4"/>
      </bottom>
      <diagonal/>
    </border>
    <border>
      <left style="medium">
        <color rgb="FF3095B4"/>
      </left>
      <right style="dotted">
        <color rgb="FF3095B4"/>
      </right>
      <top style="dotted">
        <color rgb="FF3095B4"/>
      </top>
      <bottom/>
      <diagonal/>
    </border>
    <border>
      <left style="dotted">
        <color rgb="FF3095B4"/>
      </left>
      <right/>
      <top style="medium">
        <color rgb="FF3095B4"/>
      </top>
      <bottom/>
      <diagonal/>
    </border>
    <border>
      <left style="medium">
        <color rgb="FF3095B4"/>
      </left>
      <right/>
      <top/>
      <bottom style="dotted">
        <color rgb="FF3095B4"/>
      </bottom>
      <diagonal/>
    </border>
    <border>
      <left style="medium">
        <color rgb="FF3095B4"/>
      </left>
      <right/>
      <top style="dotted">
        <color rgb="FF3095B4"/>
      </top>
      <bottom style="dotted">
        <color rgb="FF3095B4"/>
      </bottom>
      <diagonal/>
    </border>
    <border>
      <left/>
      <right/>
      <top style="dotted">
        <color rgb="FF3095B4"/>
      </top>
      <bottom style="dotted">
        <color rgb="FF3095B4"/>
      </bottom>
      <diagonal/>
    </border>
    <border>
      <left/>
      <right style="dotted">
        <color rgb="FF3095B4"/>
      </right>
      <top style="medium">
        <color rgb="FF3095B4"/>
      </top>
      <bottom/>
      <diagonal/>
    </border>
    <border>
      <left style="dotted">
        <color rgb="FF3095B4"/>
      </left>
      <right/>
      <top style="medium">
        <color rgb="FF3095B4"/>
      </top>
      <bottom style="medium">
        <color rgb="FF3095B4"/>
      </bottom>
      <diagonal/>
    </border>
    <border>
      <left style="dotted">
        <color rgb="FF3095B4"/>
      </left>
      <right style="medium">
        <color rgb="FF3095B4"/>
      </right>
      <top style="dotted">
        <color rgb="FF3095B4"/>
      </top>
      <bottom/>
      <diagonal/>
    </border>
    <border>
      <left style="medium">
        <color rgb="FF3095B4"/>
      </left>
      <right/>
      <top style="dotted">
        <color rgb="FF3095B4"/>
      </top>
      <bottom style="medium">
        <color rgb="FF3095B4"/>
      </bottom>
      <diagonal/>
    </border>
    <border>
      <left/>
      <right/>
      <top style="dotted">
        <color rgb="FF3095B4"/>
      </top>
      <bottom style="medium">
        <color rgb="FF3095B4"/>
      </bottom>
      <diagonal/>
    </border>
    <border>
      <left style="medium">
        <color rgb="FF005172"/>
      </left>
      <right/>
      <top style="medium">
        <color rgb="FF005172"/>
      </top>
      <bottom/>
      <diagonal/>
    </border>
    <border>
      <left/>
      <right/>
      <top style="medium">
        <color rgb="FF005172"/>
      </top>
      <bottom/>
      <diagonal/>
    </border>
    <border>
      <left/>
      <right style="medium">
        <color rgb="FF005172"/>
      </right>
      <top style="medium">
        <color rgb="FF005172"/>
      </top>
      <bottom/>
      <diagonal/>
    </border>
    <border>
      <left style="medium">
        <color rgb="FF005172"/>
      </left>
      <right/>
      <top/>
      <bottom/>
      <diagonal/>
    </border>
    <border>
      <left/>
      <right style="medium">
        <color rgb="FF005172"/>
      </right>
      <top/>
      <bottom/>
      <diagonal/>
    </border>
    <border>
      <left style="medium">
        <color rgb="FF005172"/>
      </left>
      <right/>
      <top/>
      <bottom style="medium">
        <color rgb="FF005172"/>
      </bottom>
      <diagonal/>
    </border>
    <border>
      <left/>
      <right/>
      <top/>
      <bottom style="medium">
        <color rgb="FF005172"/>
      </bottom>
      <diagonal/>
    </border>
    <border>
      <left/>
      <right style="medium">
        <color rgb="FF005172"/>
      </right>
      <top/>
      <bottom style="medium">
        <color rgb="FF005172"/>
      </bottom>
      <diagonal/>
    </border>
    <border>
      <left style="medium">
        <color rgb="FF3095B4"/>
      </left>
      <right style="dotted">
        <color rgb="FF3095B4"/>
      </right>
      <top/>
      <bottom style="medium">
        <color rgb="FF3095B4"/>
      </bottom>
      <diagonal/>
    </border>
    <border>
      <left style="dotted">
        <color rgb="FF3095B4"/>
      </left>
      <right style="dotted">
        <color rgb="FF3095B4"/>
      </right>
      <top/>
      <bottom style="medium">
        <color rgb="FF3095B4"/>
      </bottom>
      <diagonal/>
    </border>
    <border>
      <left style="dotted">
        <color rgb="FF3095B4"/>
      </left>
      <right style="medium">
        <color rgb="FF3095B4"/>
      </right>
      <top/>
      <bottom style="medium">
        <color rgb="FF3095B4"/>
      </bottom>
      <diagonal/>
    </border>
    <border>
      <left style="dotted">
        <color rgb="FF3095B4"/>
      </left>
      <right/>
      <top style="dotted">
        <color rgb="FF3095B4"/>
      </top>
      <bottom style="dotted">
        <color rgb="FF3095B4"/>
      </bottom>
      <diagonal/>
    </border>
    <border>
      <left/>
      <right style="medium">
        <color rgb="FF3095B4"/>
      </right>
      <top style="dotted">
        <color rgb="FF3095B4"/>
      </top>
      <bottom style="dotted">
        <color rgb="FF3095B4"/>
      </bottom>
      <diagonal/>
    </border>
    <border>
      <left style="hair">
        <color rgb="FF3095B4"/>
      </left>
      <right style="hair">
        <color rgb="FF3095B4"/>
      </right>
      <top style="hair">
        <color rgb="FF3095B4"/>
      </top>
      <bottom style="hair">
        <color rgb="FF3095B4"/>
      </bottom>
      <diagonal/>
    </border>
    <border>
      <left style="hair">
        <color rgb="FF3095B4"/>
      </left>
      <right style="hair">
        <color rgb="FF3095B4"/>
      </right>
      <top style="hair">
        <color rgb="FF3095B4"/>
      </top>
      <bottom style="medium">
        <color rgb="FF3095B4"/>
      </bottom>
      <diagonal/>
    </border>
    <border>
      <left style="medium">
        <color rgb="FF005172"/>
      </left>
      <right/>
      <top style="medium">
        <color rgb="FF005172"/>
      </top>
      <bottom style="medium">
        <color rgb="FF005172"/>
      </bottom>
      <diagonal/>
    </border>
    <border>
      <left/>
      <right/>
      <top style="medium">
        <color rgb="FF005172"/>
      </top>
      <bottom style="medium">
        <color rgb="FF005172"/>
      </bottom>
      <diagonal/>
    </border>
    <border>
      <left/>
      <right style="medium">
        <color rgb="FF005172"/>
      </right>
      <top style="medium">
        <color rgb="FF005172"/>
      </top>
      <bottom style="medium">
        <color rgb="FF005172"/>
      </bottom>
      <diagonal/>
    </border>
    <border>
      <left style="hair">
        <color rgb="FF3095B4"/>
      </left>
      <right style="hair">
        <color rgb="FF3095B4"/>
      </right>
      <top style="hair">
        <color rgb="FF3095B4"/>
      </top>
      <bottom/>
      <diagonal/>
    </border>
    <border>
      <left style="hair">
        <color rgb="FF3095B4"/>
      </left>
      <right/>
      <top style="hair">
        <color rgb="FF3095B4"/>
      </top>
      <bottom style="hair">
        <color rgb="FF3095B4"/>
      </bottom>
      <diagonal/>
    </border>
    <border>
      <left/>
      <right/>
      <top style="hair">
        <color rgb="FF3095B4"/>
      </top>
      <bottom style="hair">
        <color rgb="FF3095B4"/>
      </bottom>
      <diagonal/>
    </border>
    <border>
      <left/>
      <right style="hair">
        <color rgb="FF3095B4"/>
      </right>
      <top style="hair">
        <color rgb="FF3095B4"/>
      </top>
      <bottom style="hair">
        <color rgb="FF3095B4"/>
      </bottom>
      <diagonal/>
    </border>
    <border>
      <left/>
      <right style="hair">
        <color rgb="FF3095B4"/>
      </right>
      <top/>
      <bottom style="hair">
        <color rgb="FF3095B4"/>
      </bottom>
      <diagonal/>
    </border>
    <border>
      <left style="hair">
        <color rgb="FF3095B4"/>
      </left>
      <right style="hair">
        <color rgb="FF3095B4"/>
      </right>
      <top/>
      <bottom style="hair">
        <color rgb="FF3095B4"/>
      </bottom>
      <diagonal/>
    </border>
    <border>
      <left style="medium">
        <color rgb="FF005172"/>
      </left>
      <right/>
      <top/>
      <bottom style="hair">
        <color rgb="FF3095B4"/>
      </bottom>
      <diagonal/>
    </border>
    <border>
      <left style="hair">
        <color rgb="FF3095B4"/>
      </left>
      <right style="medium">
        <color rgb="FF005172"/>
      </right>
      <top/>
      <bottom style="hair">
        <color rgb="FF3095B4"/>
      </bottom>
      <diagonal/>
    </border>
    <border>
      <left style="medium">
        <color rgb="FF005172"/>
      </left>
      <right style="hair">
        <color rgb="FF3095B4"/>
      </right>
      <top style="hair">
        <color rgb="FF3095B4"/>
      </top>
      <bottom style="hair">
        <color rgb="FF3095B4"/>
      </bottom>
      <diagonal/>
    </border>
    <border>
      <left style="hair">
        <color rgb="FF3095B4"/>
      </left>
      <right style="medium">
        <color rgb="FF005172"/>
      </right>
      <top style="hair">
        <color rgb="FF3095B4"/>
      </top>
      <bottom style="hair">
        <color rgb="FF3095B4"/>
      </bottom>
      <diagonal/>
    </border>
    <border>
      <left style="medium">
        <color rgb="FF005172"/>
      </left>
      <right/>
      <top style="hair">
        <color rgb="FF3095B4"/>
      </top>
      <bottom style="hair">
        <color rgb="FF3095B4"/>
      </bottom>
      <diagonal/>
    </border>
    <border>
      <left style="medium">
        <color rgb="FF005172"/>
      </left>
      <right/>
      <top style="hair">
        <color rgb="FF3095B4"/>
      </top>
      <bottom style="medium">
        <color rgb="FF005172"/>
      </bottom>
      <diagonal/>
    </border>
    <border>
      <left/>
      <right style="hair">
        <color rgb="FF3095B4"/>
      </right>
      <top style="hair">
        <color rgb="FF3095B4"/>
      </top>
      <bottom style="medium">
        <color rgb="FF005172"/>
      </bottom>
      <diagonal/>
    </border>
    <border>
      <left style="hair">
        <color rgb="FF3095B4"/>
      </left>
      <right style="hair">
        <color rgb="FF3095B4"/>
      </right>
      <top style="hair">
        <color rgb="FF3095B4"/>
      </top>
      <bottom style="medium">
        <color rgb="FF005172"/>
      </bottom>
      <diagonal/>
    </border>
    <border>
      <left style="hair">
        <color rgb="FF3095B4"/>
      </left>
      <right style="medium">
        <color rgb="FF005172"/>
      </right>
      <top style="hair">
        <color rgb="FF3095B4"/>
      </top>
      <bottom style="medium">
        <color rgb="FF005172"/>
      </bottom>
      <diagonal/>
    </border>
    <border>
      <left style="medium">
        <color rgb="FF005172"/>
      </left>
      <right style="dotted">
        <color rgb="FF3095B4"/>
      </right>
      <top/>
      <bottom style="dotted">
        <color rgb="FF3095B4"/>
      </bottom>
      <diagonal/>
    </border>
    <border>
      <left style="dotted">
        <color rgb="FF3095B4"/>
      </left>
      <right style="medium">
        <color rgb="FF005172"/>
      </right>
      <top/>
      <bottom style="dotted">
        <color rgb="FF3095B4"/>
      </bottom>
      <diagonal/>
    </border>
    <border>
      <left style="medium">
        <color rgb="FF005172"/>
      </left>
      <right style="dotted">
        <color rgb="FF3095B4"/>
      </right>
      <top style="dotted">
        <color rgb="FF3095B4"/>
      </top>
      <bottom style="dotted">
        <color rgb="FF3095B4"/>
      </bottom>
      <diagonal/>
    </border>
    <border>
      <left style="dotted">
        <color rgb="FF3095B4"/>
      </left>
      <right style="medium">
        <color rgb="FF005172"/>
      </right>
      <top style="dotted">
        <color rgb="FF3095B4"/>
      </top>
      <bottom style="dotted">
        <color rgb="FF3095B4"/>
      </bottom>
      <diagonal/>
    </border>
    <border>
      <left style="medium">
        <color rgb="FF005172"/>
      </left>
      <right style="dotted">
        <color rgb="FF3095B4"/>
      </right>
      <top style="dotted">
        <color rgb="FF3095B4"/>
      </top>
      <bottom style="medium">
        <color rgb="FF005172"/>
      </bottom>
      <diagonal/>
    </border>
    <border>
      <left style="dotted">
        <color rgb="FF3095B4"/>
      </left>
      <right style="dotted">
        <color rgb="FF3095B4"/>
      </right>
      <top style="dotted">
        <color rgb="FF3095B4"/>
      </top>
      <bottom style="medium">
        <color rgb="FF005172"/>
      </bottom>
      <diagonal/>
    </border>
    <border>
      <left style="medium">
        <color rgb="FF005172"/>
      </left>
      <right style="hair">
        <color rgb="FF3095B4"/>
      </right>
      <top style="hair">
        <color rgb="FF3095B4"/>
      </top>
      <bottom/>
      <diagonal/>
    </border>
    <border>
      <left style="medium">
        <color rgb="FF005172"/>
      </left>
      <right/>
      <top/>
      <bottom style="medium">
        <color rgb="FF3095B4"/>
      </bottom>
      <diagonal/>
    </border>
    <border>
      <left/>
      <right style="medium">
        <color rgb="FF005172"/>
      </right>
      <top/>
      <bottom style="medium">
        <color rgb="FF3095B4"/>
      </bottom>
      <diagonal/>
    </border>
    <border>
      <left style="medium">
        <color rgb="FF005172"/>
      </left>
      <right style="dotted">
        <color rgb="FF3095B4"/>
      </right>
      <top style="dotted">
        <color rgb="FF3095B4"/>
      </top>
      <bottom/>
      <diagonal/>
    </border>
    <border>
      <left style="medium">
        <color rgb="FF005172"/>
      </left>
      <right/>
      <top style="dotted">
        <color rgb="FF3095B4"/>
      </top>
      <bottom style="dotted">
        <color rgb="FF3095B4"/>
      </bottom>
      <diagonal/>
    </border>
    <border>
      <left/>
      <right style="medium">
        <color rgb="FF005172"/>
      </right>
      <top style="dotted">
        <color rgb="FF3095B4"/>
      </top>
      <bottom style="dotted">
        <color rgb="FF3095B4"/>
      </bottom>
      <diagonal/>
    </border>
    <border>
      <left style="medium">
        <color rgb="FF005172"/>
      </left>
      <right style="dotted">
        <color rgb="FF3095B4"/>
      </right>
      <top style="medium">
        <color rgb="FF005172"/>
      </top>
      <bottom style="medium">
        <color rgb="FF005172"/>
      </bottom>
      <diagonal/>
    </border>
    <border>
      <left style="dotted">
        <color rgb="FF3095B4"/>
      </left>
      <right style="dotted">
        <color rgb="FF3095B4"/>
      </right>
      <top style="medium">
        <color rgb="FF005172"/>
      </top>
      <bottom style="medium">
        <color rgb="FF005172"/>
      </bottom>
      <diagonal/>
    </border>
    <border>
      <left style="dotted">
        <color rgb="FF3095B4"/>
      </left>
      <right style="medium">
        <color rgb="FF005172"/>
      </right>
      <top style="medium">
        <color rgb="FF005172"/>
      </top>
      <bottom style="medium">
        <color rgb="FF005172"/>
      </bottom>
      <diagonal/>
    </border>
    <border>
      <left style="dotted">
        <color rgb="FF3095B4"/>
      </left>
      <right/>
      <top style="dotted">
        <color rgb="FF3095B4"/>
      </top>
      <bottom style="medium">
        <color rgb="FF005172"/>
      </bottom>
      <diagonal/>
    </border>
    <border>
      <left/>
      <right style="medium">
        <color rgb="FF005172"/>
      </right>
      <top style="dotted">
        <color rgb="FF3095B4"/>
      </top>
      <bottom style="medium">
        <color rgb="FF005172"/>
      </bottom>
      <diagonal/>
    </border>
    <border>
      <left/>
      <right style="dotted">
        <color rgb="FF3095B4"/>
      </right>
      <top style="dotted">
        <color rgb="FF3095B4"/>
      </top>
      <bottom style="medium">
        <color rgb="FF005172"/>
      </bottom>
      <diagonal/>
    </border>
    <border>
      <left style="dotted">
        <color rgb="FF3095B4"/>
      </left>
      <right/>
      <top style="medium">
        <color rgb="FF3095B4"/>
      </top>
      <bottom style="dotted">
        <color rgb="FF3095B4"/>
      </bottom>
      <diagonal/>
    </border>
    <border>
      <left/>
      <right/>
      <top style="medium">
        <color rgb="FF3095B4"/>
      </top>
      <bottom style="dotted">
        <color rgb="FF3095B4"/>
      </bottom>
      <diagonal/>
    </border>
    <border>
      <left/>
      <right style="medium">
        <color rgb="FF3095B4"/>
      </right>
      <top style="medium">
        <color rgb="FF3095B4"/>
      </top>
      <bottom style="dotted">
        <color rgb="FF3095B4"/>
      </bottom>
      <diagonal/>
    </border>
    <border>
      <left style="dotted">
        <color rgb="FF3095B4"/>
      </left>
      <right/>
      <top style="dotted">
        <color rgb="FF3095B4"/>
      </top>
      <bottom style="medium">
        <color rgb="FF3095B4"/>
      </bottom>
      <diagonal/>
    </border>
    <border>
      <left/>
      <right style="medium">
        <color rgb="FF3095B4"/>
      </right>
      <top style="dotted">
        <color rgb="FF3095B4"/>
      </top>
      <bottom style="medium">
        <color rgb="FF3095B4"/>
      </bottom>
      <diagonal/>
    </border>
    <border>
      <left style="medium">
        <color rgb="FF3095B4"/>
      </left>
      <right style="hair">
        <color rgb="FF3095B4"/>
      </right>
      <top style="medium">
        <color rgb="FF3095B4"/>
      </top>
      <bottom style="hair">
        <color rgb="FF3095B4"/>
      </bottom>
      <diagonal/>
    </border>
    <border>
      <left style="hair">
        <color rgb="FF3095B4"/>
      </left>
      <right style="hair">
        <color rgb="FF3095B4"/>
      </right>
      <top style="medium">
        <color rgb="FF3095B4"/>
      </top>
      <bottom style="hair">
        <color rgb="FF3095B4"/>
      </bottom>
      <diagonal/>
    </border>
    <border>
      <left style="hair">
        <color rgb="FF3095B4"/>
      </left>
      <right style="medium">
        <color rgb="FF3095B4"/>
      </right>
      <top style="medium">
        <color rgb="FF3095B4"/>
      </top>
      <bottom style="hair">
        <color rgb="FF3095B4"/>
      </bottom>
      <diagonal/>
    </border>
    <border>
      <left style="medium">
        <color rgb="FF3095B4"/>
      </left>
      <right style="hair">
        <color rgb="FF3095B4"/>
      </right>
      <top style="hair">
        <color rgb="FF3095B4"/>
      </top>
      <bottom style="hair">
        <color rgb="FF3095B4"/>
      </bottom>
      <diagonal/>
    </border>
    <border>
      <left style="hair">
        <color rgb="FF3095B4"/>
      </left>
      <right style="medium">
        <color rgb="FF3095B4"/>
      </right>
      <top style="hair">
        <color rgb="FF3095B4"/>
      </top>
      <bottom style="hair">
        <color rgb="FF3095B4"/>
      </bottom>
      <diagonal/>
    </border>
    <border>
      <left style="medium">
        <color rgb="FF3095B4"/>
      </left>
      <right/>
      <top style="hair">
        <color rgb="FF3095B4"/>
      </top>
      <bottom/>
      <diagonal/>
    </border>
    <border>
      <left/>
      <right/>
      <top style="hair">
        <color rgb="FF3095B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rgb="FF3095B4"/>
      </right>
      <top style="hair">
        <color rgb="FF3095B4"/>
      </top>
      <bottom/>
      <diagonal/>
    </border>
    <border>
      <left/>
      <right style="hair">
        <color rgb="FF3095B4"/>
      </right>
      <top/>
      <bottom/>
      <diagonal/>
    </border>
    <border>
      <left style="medium">
        <color rgb="FF005172"/>
      </left>
      <right style="medium">
        <color rgb="FF005172"/>
      </right>
      <top/>
      <bottom/>
      <diagonal/>
    </border>
    <border>
      <left/>
      <right style="dotted">
        <color rgb="FF3095B4"/>
      </right>
      <top style="dotted">
        <color rgb="FF3095B4"/>
      </top>
      <bottom/>
      <diagonal/>
    </border>
    <border>
      <left style="medium">
        <color rgb="FF005172"/>
      </left>
      <right style="hair">
        <color rgb="FF3095B4"/>
      </right>
      <top style="hair">
        <color rgb="FF3095B4"/>
      </top>
      <bottom style="medium">
        <color rgb="FF005172"/>
      </bottom>
      <diagonal/>
    </border>
    <border>
      <left style="medium">
        <color rgb="FF005172"/>
      </left>
      <right style="medium">
        <color rgb="FF005172"/>
      </right>
      <top style="medium">
        <color rgb="FF005172"/>
      </top>
      <bottom/>
      <diagonal/>
    </border>
    <border>
      <left style="medium">
        <color rgb="FF005172"/>
      </left>
      <right style="hair">
        <color rgb="FF3095B4"/>
      </right>
      <top/>
      <bottom style="hair">
        <color rgb="FF3095B4"/>
      </bottom>
      <diagonal/>
    </border>
    <border>
      <left style="medium">
        <color rgb="FF005172"/>
      </left>
      <right style="medium">
        <color rgb="FF005172"/>
      </right>
      <top style="medium">
        <color rgb="FF005172"/>
      </top>
      <bottom style="medium">
        <color rgb="FF005172"/>
      </bottom>
      <diagonal/>
    </border>
    <border>
      <left/>
      <right style="hair">
        <color rgb="FF3095B4"/>
      </right>
      <top style="medium">
        <color rgb="FF3095B4"/>
      </top>
      <bottom/>
      <diagonal/>
    </border>
    <border>
      <left/>
      <right/>
      <top style="medium">
        <color rgb="FF3095B4"/>
      </top>
      <bottom style="hair">
        <color rgb="FF3095B4"/>
      </bottom>
      <diagonal/>
    </border>
    <border>
      <left/>
      <right style="hair">
        <color rgb="FF3095B4"/>
      </right>
      <top style="medium">
        <color rgb="FF3095B4"/>
      </top>
      <bottom style="hair">
        <color rgb="FF3095B4"/>
      </bottom>
      <diagonal/>
    </border>
    <border>
      <left/>
      <right style="dotted">
        <color rgb="FF3095B4"/>
      </right>
      <top style="medium">
        <color rgb="FF3095B4"/>
      </top>
      <bottom style="dotted">
        <color rgb="FF3095B4"/>
      </bottom>
      <diagonal/>
    </border>
    <border>
      <left style="medium">
        <color rgb="FF3095B4"/>
      </left>
      <right style="medium">
        <color rgb="FF3095B4"/>
      </right>
      <top style="medium">
        <color rgb="FF3095B4"/>
      </top>
      <bottom style="medium">
        <color rgb="FF3095B4"/>
      </bottom>
      <diagonal/>
    </border>
    <border>
      <left/>
      <right style="dotted">
        <color rgb="FF3095B4"/>
      </right>
      <top style="medium">
        <color rgb="FF3095B4"/>
      </top>
      <bottom style="medium">
        <color rgb="FF3095B4"/>
      </bottom>
      <diagonal/>
    </border>
    <border>
      <left/>
      <right style="dotted">
        <color rgb="FF3095B4"/>
      </right>
      <top/>
      <bottom/>
      <diagonal/>
    </border>
    <border>
      <left/>
      <right/>
      <top style="hair">
        <color rgb="FF3095B4"/>
      </top>
      <bottom style="medium">
        <color rgb="FF3095B4"/>
      </bottom>
      <diagonal/>
    </border>
    <border>
      <left/>
      <right style="hair">
        <color rgb="FF3095B4"/>
      </right>
      <top style="hair">
        <color rgb="FF3095B4"/>
      </top>
      <bottom style="medium">
        <color rgb="FF3095B4"/>
      </bottom>
      <diagonal/>
    </border>
    <border>
      <left style="medium">
        <color rgb="FF3095B4"/>
      </left>
      <right style="medium">
        <color rgb="FF3095B4"/>
      </right>
      <top style="medium">
        <color rgb="FF3095B4"/>
      </top>
      <bottom/>
      <diagonal/>
    </border>
    <border>
      <left style="medium">
        <color rgb="FF3095B4"/>
      </left>
      <right style="medium">
        <color rgb="FF3095B4"/>
      </right>
      <top/>
      <bottom style="medium">
        <color rgb="FF3095B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tted">
        <color rgb="FF3095B4"/>
      </right>
      <top/>
      <bottom style="medium">
        <color rgb="FF3095B4"/>
      </bottom>
      <diagonal/>
    </border>
    <border>
      <left style="medium">
        <color rgb="FF005172"/>
      </left>
      <right style="medium">
        <color rgb="FF005172"/>
      </right>
      <top/>
      <bottom style="medium">
        <color rgb="FF3095B4"/>
      </bottom>
      <diagonal/>
    </border>
    <border>
      <left/>
      <right style="dotted">
        <color rgb="FF3095B4"/>
      </right>
      <top style="medium">
        <color rgb="FF005172"/>
      </top>
      <bottom/>
      <diagonal/>
    </border>
    <border>
      <left/>
      <right style="dotted">
        <color rgb="FF3095B4"/>
      </right>
      <top style="medium">
        <color rgb="FF005172"/>
      </top>
      <bottom style="medium">
        <color rgb="FF005172"/>
      </bottom>
      <diagonal/>
    </border>
    <border>
      <left/>
      <right style="medium">
        <color rgb="FF005172"/>
      </right>
      <top style="dotted">
        <color rgb="FF3095B4"/>
      </top>
      <bottom/>
      <diagonal/>
    </border>
    <border>
      <left style="dotted">
        <color rgb="FF3095B4"/>
      </left>
      <right style="medium">
        <color rgb="FF005172"/>
      </right>
      <top style="dotted">
        <color rgb="FF3095B4"/>
      </top>
      <bottom style="medium">
        <color rgb="FF005172"/>
      </bottom>
      <diagonal/>
    </border>
    <border>
      <left style="hair">
        <color rgb="FF3095B4"/>
      </left>
      <right/>
      <top/>
      <bottom/>
      <diagonal/>
    </border>
    <border>
      <left style="hair">
        <color rgb="FF3095B4"/>
      </left>
      <right/>
      <top/>
      <bottom style="hair">
        <color rgb="FF3095B4"/>
      </bottom>
      <diagonal/>
    </border>
    <border>
      <left/>
      <right/>
      <top/>
      <bottom style="hair">
        <color rgb="FF3095B4"/>
      </bottom>
      <diagonal/>
    </border>
    <border>
      <left style="medium">
        <color rgb="FF3095B4"/>
      </left>
      <right style="dotted">
        <color rgb="FF3095B4"/>
      </right>
      <top style="medium">
        <color rgb="FF3095B4"/>
      </top>
      <bottom/>
      <diagonal/>
    </border>
    <border>
      <left style="thin">
        <color indexed="64"/>
      </left>
      <right style="medium">
        <color rgb="FF3095B4"/>
      </right>
      <top style="thin">
        <color indexed="64"/>
      </top>
      <bottom style="medium">
        <color rgb="FF3095B4"/>
      </bottom>
      <diagonal/>
    </border>
    <border>
      <left/>
      <right style="medium">
        <color rgb="FF3095B4"/>
      </right>
      <top style="thin">
        <color indexed="64"/>
      </top>
      <bottom/>
      <diagonal/>
    </border>
    <border>
      <left style="thin">
        <color indexed="64"/>
      </left>
      <right style="medium">
        <color rgb="FF3095B4"/>
      </right>
      <top style="thin">
        <color indexed="64"/>
      </top>
      <bottom style="thin">
        <color indexed="64"/>
      </bottom>
      <diagonal/>
    </border>
    <border>
      <left style="medium">
        <color rgb="FF3095B4"/>
      </left>
      <right style="medium">
        <color rgb="FF3095B4"/>
      </right>
      <top/>
      <bottom/>
      <diagonal/>
    </border>
  </borders>
  <cellStyleXfs count="6">
    <xf numFmtId="0" fontId="1" fillId="0" borderId="0"/>
    <xf numFmtId="164" fontId="1" fillId="0" borderId="0"/>
    <xf numFmtId="0" fontId="2" fillId="0" borderId="0"/>
    <xf numFmtId="9" fontId="1" fillId="0" borderId="0"/>
    <xf numFmtId="164" fontId="1" fillId="0" borderId="0"/>
    <xf numFmtId="0" fontId="4" fillId="0" borderId="0"/>
  </cellStyleXfs>
  <cellXfs count="844">
    <xf numFmtId="0" fontId="0" fillId="0" borderId="0" pivotButton="0" quotePrefix="0" xfId="0"/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center"/>
      <protection locked="1" hidden="1"/>
    </xf>
    <xf numFmtId="0" fontId="7" fillId="0" borderId="12" applyAlignment="1" applyProtection="1" pivotButton="0" quotePrefix="0" xfId="0">
      <alignment horizontal="left" vertical="center"/>
      <protection locked="1" hidden="1"/>
    </xf>
    <xf numFmtId="0" fontId="7" fillId="0" borderId="10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66" applyProtection="1" pivotButton="0" quotePrefix="0" xfId="0">
      <protection locked="1" hidden="1"/>
    </xf>
    <xf numFmtId="0" fontId="7" fillId="0" borderId="66" applyAlignment="1" applyProtection="1" pivotButton="0" quotePrefix="0" xfId="0">
      <alignment horizontal="left" vertical="center"/>
      <protection locked="1" hidden="1"/>
    </xf>
    <xf numFmtId="0" fontId="7" fillId="0" borderId="67" applyProtection="1" pivotButton="0" quotePrefix="0" xfId="0">
      <protection locked="1" hidden="1"/>
    </xf>
    <xf numFmtId="0" fontId="7" fillId="0" borderId="69" applyProtection="1" pivotButton="0" quotePrefix="0" xfId="0">
      <protection locked="1" hidden="1"/>
    </xf>
    <xf numFmtId="0" fontId="9" fillId="0" borderId="0" applyAlignment="1" applyProtection="1" pivotButton="0" quotePrefix="0" xfId="0">
      <alignment vertical="center"/>
      <protection locked="1" hidden="1"/>
    </xf>
    <xf numFmtId="0" fontId="5" fillId="0" borderId="0" applyAlignment="1" applyProtection="1" pivotButton="0" quotePrefix="0" xfId="5">
      <alignment horizontal="center" vertical="center"/>
      <protection locked="1" hidden="1"/>
    </xf>
    <xf numFmtId="0" fontId="9" fillId="0" borderId="0" applyAlignment="1" applyProtection="1" pivotButton="0" quotePrefix="0" xfId="0">
      <alignment horizontal="center" vertical="center"/>
      <protection locked="1" hidden="1"/>
    </xf>
    <xf numFmtId="0" fontId="7" fillId="0" borderId="11" applyAlignment="1" applyProtection="1" pivotButton="0" quotePrefix="0" xfId="0">
      <alignment horizontal="center"/>
      <protection locked="1" hidden="1"/>
    </xf>
    <xf numFmtId="9" fontId="34" fillId="5" borderId="10" applyAlignment="1" applyProtection="1" pivotButton="0" quotePrefix="0" xfId="3">
      <alignment horizontal="left" vertical="center"/>
      <protection locked="1" hidden="1"/>
    </xf>
    <xf numFmtId="9" fontId="14" fillId="0" borderId="0" applyProtection="1" pivotButton="0" quotePrefix="0" xfId="3">
      <protection locked="1" hidden="1"/>
    </xf>
    <xf numFmtId="9" fontId="34" fillId="5" borderId="0" applyAlignment="1" applyProtection="1" pivotButton="0" quotePrefix="0" xfId="3">
      <alignment horizontal="left" vertical="center"/>
      <protection locked="1" hidden="1"/>
    </xf>
    <xf numFmtId="9" fontId="34" fillId="0" borderId="0" applyAlignment="1" applyProtection="1" pivotButton="0" quotePrefix="0" xfId="3">
      <alignment vertical="center"/>
      <protection locked="1" hidden="1"/>
    </xf>
    <xf numFmtId="0" fontId="14" fillId="0" borderId="0" applyProtection="1" pivotButton="0" quotePrefix="0" xfId="0">
      <protection locked="1" hidden="1"/>
    </xf>
    <xf numFmtId="1" fontId="34" fillId="0" borderId="0" applyAlignment="1" applyProtection="1" pivotButton="0" quotePrefix="0" xfId="5">
      <alignment vertical="center"/>
      <protection locked="1" hidden="1"/>
    </xf>
    <xf numFmtId="9" fontId="14" fillId="5" borderId="10" applyAlignment="1" applyProtection="1" pivotButton="0" quotePrefix="0" xfId="0">
      <alignment horizontal="left" vertical="center"/>
      <protection locked="1" hidden="1"/>
    </xf>
    <xf numFmtId="9" fontId="14" fillId="5" borderId="0" applyAlignment="1" applyProtection="1" pivotButton="0" quotePrefix="0" xfId="0">
      <alignment horizontal="left" vertical="center"/>
      <protection locked="1" hidden="1"/>
    </xf>
    <xf numFmtId="0" fontId="32" fillId="0" borderId="0" applyProtection="1" pivotButton="0" quotePrefix="0" xfId="0">
      <protection locked="1" hidden="1"/>
    </xf>
    <xf numFmtId="9" fontId="14" fillId="0" borderId="0" applyAlignment="1" applyProtection="1" pivotButton="0" quotePrefix="0" xfId="0">
      <alignment horizontal="left" vertical="center"/>
      <protection locked="1" hidden="1"/>
    </xf>
    <xf numFmtId="9" fontId="14" fillId="0" borderId="0" applyAlignment="1" applyProtection="1" pivotButton="0" quotePrefix="0" xfId="0">
      <alignment horizontal="center"/>
      <protection locked="1" hidden="1"/>
    </xf>
    <xf numFmtId="0" fontId="14" fillId="0" borderId="0" applyAlignment="1" applyProtection="1" pivotButton="0" quotePrefix="0" xfId="0">
      <alignment horizontal="center"/>
      <protection locked="1" hidden="1"/>
    </xf>
    <xf numFmtId="0" fontId="14" fillId="0" borderId="10" applyProtection="1" pivotButton="0" quotePrefix="0" xfId="0">
      <protection locked="1" hidden="1"/>
    </xf>
    <xf numFmtId="0" fontId="14" fillId="0" borderId="0" applyAlignment="1" applyProtection="1" pivotButton="0" quotePrefix="0" xfId="0">
      <alignment horizontal="left" vertical="center"/>
      <protection locked="1" hidden="1"/>
    </xf>
    <xf numFmtId="0" fontId="7" fillId="0" borderId="1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33" fillId="0" borderId="0" applyAlignment="1" applyProtection="1" pivotButton="0" quotePrefix="0" xfId="0">
      <alignment horizontal="left" vertical="center"/>
      <protection locked="1" hidden="1"/>
    </xf>
    <xf numFmtId="0" fontId="7" fillId="0" borderId="13" applyAlignment="1" applyProtection="1" pivotButton="0" quotePrefix="0" xfId="0">
      <alignment horizontal="center"/>
      <protection locked="1" hidden="1"/>
    </xf>
    <xf numFmtId="0" fontId="7" fillId="0" borderId="14" applyAlignment="1" applyProtection="1" pivotButton="0" quotePrefix="0" xfId="0">
      <alignment horizontal="center"/>
      <protection locked="1" hidden="1"/>
    </xf>
    <xf numFmtId="0" fontId="7" fillId="4" borderId="19" applyAlignment="1" applyProtection="1" pivotButton="0" quotePrefix="0" xfId="0">
      <alignment horizontal="left" vertical="center"/>
      <protection locked="1" hidden="1"/>
    </xf>
    <xf numFmtId="0" fontId="7" fillId="4" borderId="21" applyAlignment="1" applyProtection="1" pivotButton="0" quotePrefix="0" xfId="0">
      <alignment horizontal="left" vertical="center" wrapText="1"/>
      <protection locked="1" hidden="1"/>
    </xf>
    <xf numFmtId="0" fontId="7" fillId="4" borderId="23" applyAlignment="1" applyProtection="1" pivotButton="0" quotePrefix="0" xfId="0">
      <alignment horizontal="left" vertical="center" wrapText="1"/>
      <protection locked="1" hidden="1"/>
    </xf>
    <xf numFmtId="0" fontId="7" fillId="0" borderId="0" applyAlignment="1" applyProtection="1" pivotButton="0" quotePrefix="0" xfId="0">
      <alignment horizontal="left" vertical="center" wrapText="1"/>
      <protection locked="1" hidden="1"/>
    </xf>
    <xf numFmtId="0" fontId="17" fillId="0" borderId="0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center" vertical="center"/>
      <protection locked="1" hidden="1"/>
    </xf>
    <xf numFmtId="0" fontId="27" fillId="0" borderId="69" applyAlignment="1" applyProtection="1" pivotButton="0" quotePrefix="0" xfId="0">
      <alignment horizontal="center" vertical="center"/>
      <protection locked="1" hidden="1"/>
    </xf>
    <xf numFmtId="0" fontId="27" fillId="0" borderId="0" applyAlignment="1" applyProtection="1" pivotButton="0" quotePrefix="0" xfId="0">
      <alignment horizontal="center" vertical="center"/>
      <protection locked="1" hidden="1"/>
    </xf>
    <xf numFmtId="0" fontId="7" fillId="4" borderId="55" applyAlignment="1" applyProtection="1" pivotButton="0" quotePrefix="0" xfId="0">
      <alignment horizontal="left" vertical="center"/>
      <protection locked="1" hidden="1"/>
    </xf>
    <xf numFmtId="0" fontId="7" fillId="4" borderId="5" applyAlignment="1" applyProtection="1" pivotButton="0" quotePrefix="0" xfId="0">
      <alignment horizontal="center"/>
      <protection locked="1" hidden="1"/>
    </xf>
    <xf numFmtId="0" fontId="10" fillId="0" borderId="10" applyAlignment="1" applyProtection="1" pivotButton="0" quotePrefix="0" xfId="0">
      <alignment horizontal="center" vertical="center"/>
      <protection locked="0" hidden="1"/>
    </xf>
    <xf numFmtId="0" fontId="7" fillId="4" borderId="21" applyAlignment="1" applyProtection="1" pivotButton="0" quotePrefix="0" xfId="0">
      <alignment horizontal="left" vertical="center"/>
      <protection locked="0" hidden="1"/>
    </xf>
    <xf numFmtId="0" fontId="7" fillId="4" borderId="23" applyAlignment="1" applyProtection="1" pivotButton="0" quotePrefix="0" xfId="0">
      <alignment horizontal="left" vertical="center"/>
      <protection locked="0" hidden="1"/>
    </xf>
    <xf numFmtId="0" fontId="16" fillId="0" borderId="10" applyAlignment="1" applyProtection="1" pivotButton="0" quotePrefix="0" xfId="0">
      <alignment horizontal="left" vertical="center"/>
      <protection locked="0" hidden="1"/>
    </xf>
    <xf numFmtId="0" fontId="16" fillId="0" borderId="10" applyAlignment="1" applyProtection="1" pivotButton="0" quotePrefix="0" xfId="0">
      <alignment horizontal="left" vertical="center"/>
      <protection locked="1" hidden="1"/>
    </xf>
    <xf numFmtId="0" fontId="7" fillId="4" borderId="19" applyAlignment="1" applyProtection="1" pivotButton="0" quotePrefix="0" xfId="0">
      <alignment horizontal="left" vertical="center" wrapText="1"/>
      <protection locked="1" hidden="1"/>
    </xf>
    <xf numFmtId="0" fontId="10" fillId="0" borderId="69" applyProtection="1" pivotButton="0" quotePrefix="0" xfId="0">
      <protection locked="1" hidden="1"/>
    </xf>
    <xf numFmtId="0" fontId="10" fillId="0" borderId="0" applyProtection="1" pivotButton="0" quotePrefix="0" xfId="0">
      <protection locked="1" hidden="1"/>
    </xf>
    <xf numFmtId="0" fontId="7" fillId="0" borderId="69" applyAlignment="1" applyProtection="1" pivotButton="0" quotePrefix="0" xfId="0">
      <alignment horizontal="center" vertical="center"/>
      <protection locked="1" hidden="1"/>
    </xf>
    <xf numFmtId="0" fontId="10" fillId="0" borderId="0" applyAlignment="1" applyProtection="1" pivotButton="0" quotePrefix="0" xfId="0">
      <alignment horizontal="center"/>
      <protection locked="1" hidden="1"/>
    </xf>
    <xf numFmtId="0" fontId="7" fillId="4" borderId="30" applyAlignment="1" applyProtection="1" pivotButton="0" quotePrefix="0" xfId="0">
      <alignment horizontal="left" vertical="center" wrapText="1"/>
      <protection locked="1" hidden="1"/>
    </xf>
    <xf numFmtId="0" fontId="14" fillId="0" borderId="10" applyAlignment="1" applyProtection="1" pivotButton="0" quotePrefix="0" xfId="0">
      <alignment horizontal="center" vertical="center" wrapText="1"/>
      <protection locked="1" hidden="1"/>
    </xf>
    <xf numFmtId="0" fontId="14" fillId="0" borderId="0" applyAlignment="1" applyProtection="1" pivotButton="0" quotePrefix="0" xfId="0">
      <alignment horizontal="center" vertical="center" wrapText="1"/>
      <protection locked="1" hidden="1"/>
    </xf>
    <xf numFmtId="0" fontId="7" fillId="4" borderId="47" applyAlignment="1" applyProtection="1" pivotButton="0" quotePrefix="0" xfId="0">
      <alignment horizontal="left" vertical="center" wrapText="1"/>
      <protection locked="1" hidden="1"/>
    </xf>
    <xf numFmtId="0" fontId="7" fillId="4" borderId="41" applyAlignment="1" applyProtection="1" pivotButton="0" quotePrefix="0" xfId="0">
      <alignment horizontal="left" vertical="center"/>
      <protection locked="1" hidden="1"/>
    </xf>
    <xf numFmtId="0" fontId="7" fillId="4" borderId="42" applyAlignment="1" applyProtection="1" pivotButton="0" quotePrefix="0" xfId="0">
      <alignment horizontal="left" vertical="center"/>
      <protection locked="1" hidden="1"/>
    </xf>
    <xf numFmtId="0" fontId="7" fillId="4" borderId="50" applyAlignment="1" applyProtection="1" pivotButton="0" quotePrefix="0" xfId="0">
      <alignment horizontal="left" vertical="center" wrapText="1"/>
      <protection locked="1" hidden="1"/>
    </xf>
    <xf numFmtId="0" fontId="7" fillId="0" borderId="0" applyAlignment="1" applyProtection="1" pivotButton="0" quotePrefix="0" xfId="3">
      <alignment horizontal="center"/>
      <protection locked="1" hidden="1"/>
    </xf>
    <xf numFmtId="0" fontId="17" fillId="4" borderId="5" applyAlignment="1" applyProtection="1" pivotButton="0" quotePrefix="0" xfId="0">
      <alignment horizontal="center" vertical="top" wrapText="1"/>
      <protection locked="1" hidden="1"/>
    </xf>
    <xf numFmtId="0" fontId="19" fillId="0" borderId="19" applyAlignment="1" applyProtection="1" pivotButton="0" quotePrefix="0" xfId="0">
      <alignment horizontal="left" vertical="center"/>
      <protection locked="1" hidden="1"/>
    </xf>
    <xf numFmtId="0" fontId="7" fillId="4" borderId="19" applyAlignment="1" applyProtection="1" pivotButton="0" quotePrefix="0" xfId="0">
      <alignment horizontal="left"/>
      <protection locked="1" hidden="1"/>
    </xf>
    <xf numFmtId="0" fontId="7" fillId="4" borderId="21" applyAlignment="1" applyProtection="1" pivotButton="0" quotePrefix="0" xfId="0">
      <alignment horizontal="left"/>
      <protection locked="1" hidden="1"/>
    </xf>
    <xf numFmtId="0" fontId="17" fillId="0" borderId="0" applyAlignment="1" applyProtection="1" pivotButton="0" quotePrefix="0" xfId="0">
      <alignment horizontal="left"/>
      <protection locked="1" hidden="1"/>
    </xf>
    <xf numFmtId="0" fontId="17" fillId="0" borderId="0" applyAlignment="1" applyProtection="1" pivotButton="0" quotePrefix="0" xfId="0">
      <alignment horizontal="center" vertical="center"/>
      <protection locked="1" hidden="1"/>
    </xf>
    <xf numFmtId="0" fontId="11" fillId="0" borderId="10" applyAlignment="1" applyProtection="1" pivotButton="0" quotePrefix="0" xfId="0">
      <alignment horizontal="left" vertical="center"/>
      <protection locked="1" hidden="1"/>
    </xf>
    <xf numFmtId="0" fontId="7" fillId="0" borderId="21" applyAlignment="1" applyProtection="1" pivotButton="0" quotePrefix="0" xfId="0">
      <alignment horizontal="left" vertical="center" wrapText="1"/>
      <protection locked="1" hidden="1"/>
    </xf>
    <xf numFmtId="0" fontId="7" fillId="0" borderId="21" applyAlignment="1" applyProtection="1" pivotButton="0" quotePrefix="0" xfId="0">
      <alignment horizontal="left" vertical="center"/>
      <protection locked="1" hidden="1"/>
    </xf>
    <xf numFmtId="0" fontId="7" fillId="0" borderId="23" applyAlignment="1" applyProtection="1" pivotButton="0" quotePrefix="0" xfId="0">
      <alignment horizontal="left" vertical="center"/>
      <protection locked="1" hidden="1"/>
    </xf>
    <xf numFmtId="0" fontId="7" fillId="5" borderId="0" applyProtection="1" pivotButton="0" quotePrefix="0" xfId="0">
      <protection locked="1" hidden="1"/>
    </xf>
    <xf numFmtId="0" fontId="7" fillId="5" borderId="11" applyProtection="1" pivotButton="0" quotePrefix="0" xfId="0">
      <protection locked="1" hidden="1"/>
    </xf>
    <xf numFmtId="0" fontId="19" fillId="4" borderId="10" applyAlignment="1" applyProtection="1" pivotButton="0" quotePrefix="0" xfId="0">
      <alignment horizontal="left" vertical="center"/>
      <protection locked="1" hidden="1"/>
    </xf>
    <xf numFmtId="0" fontId="7" fillId="4" borderId="0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top"/>
      <protection locked="1" hidden="1"/>
    </xf>
    <xf numFmtId="0" fontId="10" fillId="4" borderId="0" applyProtection="1" pivotButton="0" quotePrefix="0" xfId="0">
      <protection locked="1" hidden="1"/>
    </xf>
    <xf numFmtId="0" fontId="19" fillId="0" borderId="10" applyAlignment="1" applyProtection="1" pivotButton="0" quotePrefix="0" xfId="0">
      <alignment horizontal="left" vertical="center"/>
      <protection locked="1" hidden="1"/>
    </xf>
    <xf numFmtId="0" fontId="7" fillId="0" borderId="71" applyAlignment="1" applyProtection="1" pivotButton="0" quotePrefix="0" xfId="0">
      <alignment horizontal="left" vertical="center"/>
      <protection locked="1" hidden="1"/>
    </xf>
    <xf numFmtId="0" fontId="7" fillId="0" borderId="71" applyProtection="1" pivotButton="0" quotePrefix="0" xfId="0">
      <protection locked="1" hidden="1"/>
    </xf>
    <xf numFmtId="0" fontId="7" fillId="0" borderId="72" applyProtection="1" pivotButton="0" quotePrefix="0" xfId="0">
      <protection locked="1" hidden="1"/>
    </xf>
    <xf numFmtId="0" fontId="35" fillId="0" borderId="0" applyAlignment="1" applyProtection="1" pivotButton="0" quotePrefix="0" xfId="5">
      <alignment horizontal="center" vertical="center"/>
      <protection locked="1" hidden="1"/>
    </xf>
    <xf numFmtId="0" fontId="7" fillId="4" borderId="21" applyAlignment="1" applyProtection="1" pivotButton="0" quotePrefix="0" xfId="0">
      <alignment horizontal="left" vertical="center"/>
      <protection locked="1" hidden="1"/>
    </xf>
    <xf numFmtId="0" fontId="7" fillId="4" borderId="23" applyAlignment="1" applyProtection="1" pivotButton="0" quotePrefix="0" xfId="0">
      <alignment horizontal="left" vertical="center"/>
      <protection locked="1" hidden="1"/>
    </xf>
    <xf numFmtId="0" fontId="7" fillId="4" borderId="0" applyAlignment="1" applyProtection="1" pivotButton="0" quotePrefix="0" xfId="0">
      <alignment horizontal="center"/>
      <protection locked="1" hidden="1"/>
    </xf>
    <xf numFmtId="0" fontId="10" fillId="4" borderId="0" applyAlignment="1" applyProtection="1" pivotButton="0" quotePrefix="0" xfId="0">
      <alignment horizontal="center"/>
      <protection locked="1" hidden="1"/>
    </xf>
    <xf numFmtId="0" fontId="7" fillId="4" borderId="58" applyAlignment="1" applyProtection="1" pivotButton="0" quotePrefix="0" xfId="0">
      <alignment horizontal="left" vertical="center"/>
      <protection locked="1" hidden="1"/>
    </xf>
    <xf numFmtId="0" fontId="7" fillId="4" borderId="59" applyAlignment="1" applyProtection="1" pivotButton="0" quotePrefix="0" xfId="0">
      <alignment horizontal="left" vertical="center"/>
      <protection locked="1" hidden="1"/>
    </xf>
    <xf numFmtId="0" fontId="5" fillId="0" borderId="0" applyAlignment="1" applyProtection="1" pivotButton="0" quotePrefix="0" xfId="5">
      <alignment horizontal="center" vertical="center" wrapText="1"/>
      <protection locked="1" hidden="1"/>
    </xf>
    <xf numFmtId="0" fontId="22" fillId="0" borderId="0" applyAlignment="1" applyProtection="1" pivotButton="0" quotePrefix="0" xfId="5">
      <alignment horizontal="center" vertical="center"/>
      <protection locked="1" hidden="1"/>
    </xf>
    <xf numFmtId="0" fontId="7" fillId="0" borderId="8" applyAlignment="1" applyProtection="1" pivotButton="0" quotePrefix="0" xfId="0">
      <alignment horizontal="center" vertical="center"/>
      <protection locked="1" hidden="1"/>
    </xf>
    <xf numFmtId="0" fontId="7" fillId="0" borderId="9" applyAlignment="1" applyProtection="1" pivotButton="0" quotePrefix="0" xfId="0">
      <alignment horizontal="center" vertical="center"/>
      <protection locked="1" hidden="1"/>
    </xf>
    <xf numFmtId="0" fontId="10" fillId="0" borderId="0" applyAlignment="1" applyProtection="1" pivotButton="0" quotePrefix="0" xfId="0">
      <alignment horizontal="center" vertical="center"/>
      <protection locked="0" hidden="1"/>
    </xf>
    <xf numFmtId="0" fontId="16" fillId="0" borderId="0" applyAlignment="1" applyProtection="1" pivotButton="0" quotePrefix="0" xfId="0">
      <alignment horizontal="center"/>
      <protection locked="0" hidden="1"/>
    </xf>
    <xf numFmtId="0" fontId="10" fillId="0" borderId="0" applyAlignment="1" applyProtection="1" pivotButton="0" quotePrefix="0" xfId="0">
      <alignment horizontal="center"/>
      <protection locked="0" hidden="1"/>
    </xf>
    <xf numFmtId="0" fontId="7" fillId="4" borderId="30" applyAlignment="1" applyProtection="1" pivotButton="0" quotePrefix="0" xfId="0">
      <alignment horizontal="left" vertical="center"/>
      <protection locked="1" hidden="1"/>
    </xf>
    <xf numFmtId="0" fontId="28" fillId="0" borderId="73" applyAlignment="1" applyProtection="1" pivotButton="0" quotePrefix="0" xfId="0">
      <alignment horizontal="center" vertical="center"/>
      <protection locked="1" hidden="1"/>
    </xf>
    <xf numFmtId="0" fontId="28" fillId="0" borderId="74" applyAlignment="1" applyProtection="1" pivotButton="0" quotePrefix="0" xfId="0">
      <alignment horizontal="center" vertical="center"/>
      <protection locked="1" hidden="1"/>
    </xf>
    <xf numFmtId="0" fontId="15" fillId="0" borderId="10" applyAlignment="1" applyProtection="1" pivotButton="0" quotePrefix="0" xfId="0">
      <alignment horizontal="center" vertical="center"/>
      <protection locked="1" hidden="1"/>
    </xf>
    <xf numFmtId="0" fontId="30" fillId="0" borderId="10" applyProtection="1" pivotButton="0" quotePrefix="0" xfId="0">
      <protection locked="1" hidden="1"/>
    </xf>
    <xf numFmtId="0" fontId="10" fillId="0" borderId="10" applyProtection="1" pivotButton="0" quotePrefix="0" xfId="0">
      <protection locked="1" hidden="1"/>
    </xf>
    <xf numFmtId="0" fontId="7" fillId="4" borderId="58" applyAlignment="1" applyProtection="1" pivotButton="0" quotePrefix="0" xfId="0">
      <alignment horizontal="left" vertical="center" wrapText="1"/>
      <protection locked="1" hidden="1"/>
    </xf>
    <xf numFmtId="0" fontId="7" fillId="4" borderId="49" applyAlignment="1" applyProtection="1" pivotButton="0" quotePrefix="0" xfId="0">
      <alignment horizontal="left" vertical="center" wrapText="1"/>
      <protection locked="1" hidden="1"/>
    </xf>
    <xf numFmtId="0" fontId="7" fillId="0" borderId="7" applyAlignment="1" applyProtection="1" pivotButton="0" quotePrefix="0" xfId="0">
      <alignment horizontal="left" vertical="center" wrapText="1"/>
      <protection locked="1" hidden="1"/>
    </xf>
    <xf numFmtId="0" fontId="7" fillId="4" borderId="8" applyAlignment="1" applyProtection="1" pivotButton="0" quotePrefix="0" xfId="0">
      <alignment horizontal="center" vertical="center"/>
      <protection locked="1" hidden="1"/>
    </xf>
    <xf numFmtId="0" fontId="7" fillId="4" borderId="63" applyAlignment="1" applyProtection="1" pivotButton="0" quotePrefix="0" xfId="0">
      <alignment horizontal="left" vertical="center" wrapText="1"/>
      <protection locked="1" hidden="1"/>
    </xf>
    <xf numFmtId="0" fontId="17" fillId="4" borderId="0" applyAlignment="1" applyProtection="1" pivotButton="0" quotePrefix="0" xfId="0">
      <alignment horizontal="center" vertical="top" wrapText="1"/>
      <protection locked="1" hidden="1"/>
    </xf>
    <xf numFmtId="0" fontId="15" fillId="4" borderId="0" applyAlignment="1" applyProtection="1" pivotButton="0" quotePrefix="0" xfId="0">
      <alignment horizontal="center"/>
      <protection locked="1" hidden="1"/>
    </xf>
    <xf numFmtId="0" fontId="15" fillId="4" borderId="69" applyAlignment="1" applyProtection="1" pivotButton="0" quotePrefix="0" xfId="0">
      <alignment horizontal="center"/>
      <protection locked="1" hidden="1"/>
    </xf>
    <xf numFmtId="0" fontId="7" fillId="0" borderId="70" applyAlignment="1" applyProtection="1" pivotButton="0" quotePrefix="0" xfId="0">
      <alignment horizontal="left" vertical="center"/>
      <protection locked="1" hidden="1"/>
    </xf>
    <xf numFmtId="0" fontId="7" fillId="0" borderId="71" applyAlignment="1" applyProtection="1" pivotButton="0" quotePrefix="0" xfId="0">
      <alignment horizontal="center"/>
      <protection locked="1" hidden="1"/>
    </xf>
    <xf numFmtId="0" fontId="15" fillId="4" borderId="71" applyAlignment="1" applyProtection="1" pivotButton="0" quotePrefix="0" xfId="0">
      <alignment horizontal="center"/>
      <protection locked="1" hidden="1"/>
    </xf>
    <xf numFmtId="0" fontId="15" fillId="4" borderId="72" applyAlignment="1" applyProtection="1" pivotButton="0" quotePrefix="0" xfId="0">
      <alignment horizontal="center"/>
      <protection locked="1" hidden="1"/>
    </xf>
    <xf numFmtId="0" fontId="10" fillId="0" borderId="0" applyAlignment="1" applyProtection="1" pivotButton="0" quotePrefix="0" xfId="0">
      <alignment horizontal="center" vertical="center"/>
      <protection locked="1" hidden="1"/>
    </xf>
    <xf numFmtId="0" fontId="10" fillId="4" borderId="69" applyAlignment="1" applyProtection="1" pivotButton="0" quotePrefix="0" xfId="0">
      <alignment horizontal="center"/>
      <protection locked="1" hidden="1"/>
    </xf>
    <xf numFmtId="0" fontId="20" fillId="0" borderId="68" applyAlignment="1" applyProtection="1" pivotButton="0" quotePrefix="0" xfId="0">
      <alignment horizontal="center"/>
      <protection locked="1" hidden="1"/>
    </xf>
    <xf numFmtId="0" fontId="21" fillId="4" borderId="100" applyAlignment="1" applyProtection="1" pivotButton="0" quotePrefix="0" xfId="0">
      <alignment horizontal="left" vertical="center" wrapText="1"/>
      <protection locked="1" hidden="1"/>
    </xf>
    <xf numFmtId="0" fontId="13" fillId="3" borderId="100" applyAlignment="1" applyProtection="1" pivotButton="0" quotePrefix="0" xfId="0">
      <alignment horizontal="left" vertical="center" wrapText="1"/>
      <protection locked="1" hidden="1"/>
    </xf>
    <xf numFmtId="0" fontId="13" fillId="4" borderId="108" applyAlignment="1" applyProtection="1" pivotButton="0" quotePrefix="0" xfId="0">
      <alignment horizontal="left" vertical="center" wrapText="1"/>
      <protection locked="1" hidden="1"/>
    </xf>
    <xf numFmtId="0" fontId="21" fillId="4" borderId="108" applyAlignment="1" applyProtection="1" pivotButton="0" quotePrefix="0" xfId="0">
      <alignment horizontal="left" vertical="center" wrapText="1"/>
      <protection locked="1" hidden="1"/>
    </xf>
    <xf numFmtId="0" fontId="13" fillId="3" borderId="108" applyAlignment="1" applyProtection="1" pivotButton="0" quotePrefix="0" xfId="0">
      <alignment horizontal="left" vertical="center" wrapText="1"/>
      <protection locked="1" hidden="1"/>
    </xf>
    <xf numFmtId="0" fontId="7" fillId="0" borderId="68" applyProtection="1" pivotButton="0" quotePrefix="0" xfId="0">
      <protection locked="1" hidden="1"/>
    </xf>
    <xf numFmtId="0" fontId="10" fillId="4" borderId="71" applyAlignment="1" applyProtection="1" pivotButton="0" quotePrefix="0" xfId="0">
      <alignment horizontal="center"/>
      <protection locked="1" hidden="1"/>
    </xf>
    <xf numFmtId="0" fontId="10" fillId="4" borderId="72" applyAlignment="1" applyProtection="1" pivotButton="0" quotePrefix="0" xfId="0">
      <alignment horizontal="center"/>
      <protection locked="1" hidden="1"/>
    </xf>
    <xf numFmtId="0" fontId="17" fillId="0" borderId="91" applyAlignment="1" applyProtection="1" pivotButton="0" quotePrefix="0" xfId="2">
      <alignment horizontal="center" vertical="center"/>
      <protection locked="1" hidden="1"/>
    </xf>
    <xf numFmtId="0" fontId="17" fillId="0" borderId="104" applyAlignment="1" applyProtection="1" pivotButton="0" quotePrefix="0" xfId="2">
      <alignment horizontal="center" vertical="center"/>
      <protection locked="1" hidden="1"/>
    </xf>
    <xf numFmtId="0" fontId="28" fillId="9" borderId="91" applyAlignment="1" applyProtection="1" pivotButton="0" quotePrefix="0" xfId="2">
      <alignment horizontal="left" vertical="center" wrapText="1"/>
      <protection locked="1" hidden="1"/>
    </xf>
    <xf numFmtId="0" fontId="14" fillId="7" borderId="91" applyAlignment="1" applyProtection="1" pivotButton="0" quotePrefix="0" xfId="2">
      <alignment horizontal="left" vertical="center" wrapText="1"/>
      <protection locked="1" hidden="1"/>
    </xf>
    <xf numFmtId="0" fontId="15" fillId="7" borderId="91" applyAlignment="1" applyProtection="1" pivotButton="0" quotePrefix="0" xfId="2">
      <alignment horizontal="left" vertical="center" wrapText="1"/>
      <protection locked="1" hidden="1"/>
    </xf>
    <xf numFmtId="0" fontId="7" fillId="0" borderId="68" applyProtection="1" pivotButton="0" quotePrefix="0" xfId="2">
      <protection locked="1" hidden="1"/>
    </xf>
    <xf numFmtId="0" fontId="17" fillId="0" borderId="0" applyAlignment="1" applyProtection="1" pivotButton="0" quotePrefix="0" xfId="2">
      <alignment horizontal="center" vertical="center"/>
      <protection locked="1" hidden="1"/>
    </xf>
    <xf numFmtId="0" fontId="7" fillId="0" borderId="0" applyProtection="1" pivotButton="0" quotePrefix="0" xfId="2">
      <protection locked="1" hidden="1"/>
    </xf>
    <xf numFmtId="0" fontId="7" fillId="0" borderId="68" applyAlignment="1" applyProtection="1" pivotButton="0" quotePrefix="0" xfId="2">
      <alignment wrapText="1"/>
      <protection locked="1" hidden="1"/>
    </xf>
    <xf numFmtId="0" fontId="7" fillId="0" borderId="0" applyAlignment="1" applyProtection="1" pivotButton="0" quotePrefix="0" xfId="2">
      <alignment wrapText="1"/>
      <protection locked="1" hidden="1"/>
    </xf>
    <xf numFmtId="0" fontId="7" fillId="0" borderId="0" applyAlignment="1" applyProtection="1" pivotButton="0" quotePrefix="0" xfId="0">
      <alignment horizontal="center"/>
      <protection locked="0" hidden="1"/>
    </xf>
    <xf numFmtId="0" fontId="7" fillId="0" borderId="0" applyAlignment="1" applyProtection="1" pivotButton="0" quotePrefix="0" xfId="0">
      <alignment horizontal="left" vertical="center"/>
      <protection locked="0" hidden="1"/>
    </xf>
    <xf numFmtId="0" fontId="7" fillId="0" borderId="0" applyAlignment="1" applyProtection="1" pivotButton="0" quotePrefix="0" xfId="0">
      <alignment horizontal="left" vertical="top"/>
      <protection locked="0" hidden="1"/>
    </xf>
    <xf numFmtId="0" fontId="23" fillId="0" borderId="0" applyAlignment="1" applyProtection="1" pivotButton="0" quotePrefix="0" xfId="0">
      <alignment horizontal="center" vertical="center" wrapText="1"/>
      <protection locked="1" hidden="1"/>
    </xf>
    <xf numFmtId="0" fontId="25" fillId="0" borderId="0" applyAlignment="1" applyProtection="1" pivotButton="0" quotePrefix="0" xfId="0">
      <alignment horizontal="center" vertical="center" wrapText="1"/>
      <protection locked="1" hidden="1"/>
    </xf>
    <xf numFmtId="0" fontId="24" fillId="0" borderId="0" applyAlignment="1" applyProtection="1" pivotButton="0" quotePrefix="0" xfId="0">
      <alignment horizontal="center" vertical="center"/>
      <protection locked="1" hidden="1"/>
    </xf>
    <xf numFmtId="14" fontId="7" fillId="0" borderId="0" applyAlignment="1" applyProtection="1" pivotButton="0" quotePrefix="0" xfId="0">
      <alignment horizontal="left" vertical="center"/>
      <protection locked="0" hidden="1"/>
    </xf>
    <xf numFmtId="0" fontId="9" fillId="0" borderId="0" applyAlignment="1" applyProtection="1" pivotButton="0" quotePrefix="0" xfId="0">
      <alignment horizontal="center" vertical="center"/>
      <protection locked="0" hidden="1"/>
    </xf>
    <xf numFmtId="0" fontId="28" fillId="0" borderId="0" applyAlignment="1" applyProtection="1" pivotButton="0" quotePrefix="0" xfId="0">
      <alignment horizontal="center" vertical="center"/>
      <protection locked="0" hidden="1"/>
    </xf>
    <xf numFmtId="0" fontId="7" fillId="0" borderId="0" applyAlignment="1" applyProtection="1" pivotButton="0" quotePrefix="0" xfId="0">
      <alignment horizontal="center" vertical="center"/>
      <protection locked="0" hidden="1"/>
    </xf>
    <xf numFmtId="0" fontId="21" fillId="0" borderId="0" applyAlignment="1" applyProtection="1" pivotButton="0" quotePrefix="0" xfId="0">
      <alignment horizontal="left" vertical="top" wrapText="1"/>
      <protection locked="1" hidden="1"/>
    </xf>
    <xf numFmtId="0" fontId="29" fillId="0" borderId="0" applyAlignment="1" applyProtection="1" pivotButton="0" quotePrefix="0" xfId="0">
      <alignment horizontal="center"/>
      <protection locked="1" hidden="1"/>
    </xf>
    <xf numFmtId="0" fontId="21" fillId="0" borderId="0" applyAlignment="1" applyProtection="1" pivotButton="0" quotePrefix="0" xfId="0">
      <alignment horizontal="center" vertical="center"/>
      <protection locked="0" hidden="1"/>
    </xf>
    <xf numFmtId="0" fontId="7" fillId="0" borderId="0" applyAlignment="1" applyProtection="1" pivotButton="0" quotePrefix="0" xfId="0">
      <alignment horizontal="left"/>
      <protection locked="0" hidden="1"/>
    </xf>
    <xf numFmtId="0" fontId="17" fillId="0" borderId="0" applyAlignment="1" applyProtection="1" pivotButton="0" quotePrefix="0" xfId="0">
      <alignment horizontal="center" vertical="top" wrapText="1"/>
      <protection locked="1" hidden="1"/>
    </xf>
    <xf numFmtId="0" fontId="21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9" fontId="7" fillId="0" borderId="0" applyAlignment="1" applyProtection="1" pivotButton="0" quotePrefix="0" xfId="3">
      <alignment horizontal="center" vertical="center"/>
      <protection locked="0" hidden="1"/>
    </xf>
    <xf numFmtId="9" fontId="17" fillId="0" borderId="0" applyAlignment="1" applyProtection="1" pivotButton="0" quotePrefix="0" xfId="3">
      <alignment horizontal="center" vertical="center"/>
      <protection locked="1" hidden="1"/>
    </xf>
    <xf numFmtId="0" fontId="27" fillId="0" borderId="0" applyAlignment="1" applyProtection="1" pivotButton="0" quotePrefix="0" xfId="0">
      <alignment horizontal="center" vertical="center" wrapText="1"/>
      <protection locked="1" hidden="1"/>
    </xf>
    <xf numFmtId="2" fontId="11" fillId="0" borderId="0" applyAlignment="1" applyProtection="1" pivotButton="0" quotePrefix="0" xfId="0">
      <alignment horizontal="center" vertical="center"/>
      <protection locked="0" hidden="1"/>
    </xf>
    <xf numFmtId="0" fontId="11" fillId="0" borderId="0" applyAlignment="1" applyProtection="1" pivotButton="0" quotePrefix="0" xfId="0">
      <alignment horizontal="left" vertical="center"/>
      <protection locked="1" hidden="1"/>
    </xf>
    <xf numFmtId="164" fontId="2" fillId="0" borderId="0" applyAlignment="1" applyProtection="1" pivotButton="0" quotePrefix="0" xfId="4">
      <alignment horizontal="center"/>
      <protection locked="1" hidden="1"/>
    </xf>
    <xf numFmtId="0" fontId="11" fillId="0" borderId="0" applyAlignment="1" applyProtection="1" pivotButton="0" quotePrefix="0" xfId="0">
      <alignment horizontal="center" vertical="center"/>
      <protection locked="0" hidden="1"/>
    </xf>
    <xf numFmtId="0" fontId="23" fillId="0" borderId="0" applyAlignment="1" applyProtection="1" pivotButton="0" quotePrefix="0" xfId="0">
      <alignment horizontal="center"/>
      <protection locked="1" hidden="1"/>
    </xf>
    <xf numFmtId="0" fontId="25" fillId="0" borderId="19" applyAlignment="1" applyProtection="1" pivotButton="0" quotePrefix="0" xfId="0">
      <alignment horizontal="center" vertical="center"/>
      <protection locked="0" hidden="1"/>
    </xf>
    <xf numFmtId="0" fontId="25" fillId="0" borderId="15" applyAlignment="1" applyProtection="1" pivotButton="0" quotePrefix="0" xfId="0">
      <alignment horizontal="center" vertical="center"/>
      <protection locked="0" hidden="1"/>
    </xf>
    <xf numFmtId="0" fontId="25" fillId="0" borderId="21" applyAlignment="1" applyProtection="1" pivotButton="0" quotePrefix="0" xfId="0">
      <alignment horizontal="center" vertical="center"/>
      <protection locked="0" hidden="1"/>
    </xf>
    <xf numFmtId="0" fontId="25" fillId="0" borderId="6" applyAlignment="1" applyProtection="1" pivotButton="0" quotePrefix="0" xfId="0">
      <alignment horizontal="center" vertical="center"/>
      <protection locked="0" hidden="1"/>
    </xf>
    <xf numFmtId="0" fontId="25" fillId="0" borderId="23" applyAlignment="1" applyProtection="1" pivotButton="0" quotePrefix="0" xfId="0">
      <alignment horizontal="center" vertical="center"/>
      <protection locked="0" hidden="1"/>
    </xf>
    <xf numFmtId="0" fontId="25" fillId="0" borderId="24" applyAlignment="1" applyProtection="1" pivotButton="0" quotePrefix="0" xfId="0">
      <alignment horizontal="center" vertical="center"/>
      <protection locked="0" hidden="1"/>
    </xf>
    <xf numFmtId="0" fontId="7" fillId="0" borderId="7" applyAlignment="1" applyProtection="1" pivotButton="0" quotePrefix="0" xfId="0">
      <alignment horizontal="left" vertical="center"/>
      <protection locked="1" hidden="1"/>
    </xf>
    <xf numFmtId="0" fontId="7" fillId="0" borderId="8" applyAlignment="1" applyProtection="1" pivotButton="0" quotePrefix="0" xfId="0">
      <alignment horizontal="center"/>
      <protection locked="1" hidden="1"/>
    </xf>
    <xf numFmtId="0" fontId="7" fillId="0" borderId="9" applyAlignment="1" applyProtection="1" pivotButton="0" quotePrefix="0" xfId="0">
      <alignment horizontal="center"/>
      <protection locked="1" hidden="1"/>
    </xf>
    <xf numFmtId="0" fontId="24" fillId="0" borderId="10" applyAlignment="1" pivotButton="0" quotePrefix="0" xfId="0">
      <alignment horizontal="center" vertical="center"/>
    </xf>
    <xf numFmtId="0" fontId="48" fillId="4" borderId="98" applyAlignment="1" applyProtection="1" pivotButton="0" quotePrefix="0" xfId="0">
      <alignment horizontal="right"/>
      <protection locked="1" hidden="1"/>
    </xf>
    <xf numFmtId="0" fontId="48" fillId="4" borderId="107" applyAlignment="1" applyProtection="1" pivotButton="0" quotePrefix="0" xfId="0">
      <alignment horizontal="right"/>
      <protection locked="1" hidden="1"/>
    </xf>
    <xf numFmtId="0" fontId="7" fillId="0" borderId="0" applyAlignment="1" applyProtection="1" pivotButton="0" quotePrefix="0" xfId="2">
      <alignment vertical="center"/>
      <protection locked="0" hidden="1"/>
    </xf>
    <xf numFmtId="0" fontId="18" fillId="0" borderId="0" applyAlignment="1" applyProtection="1" pivotButton="0" quotePrefix="0" xfId="0">
      <alignment horizontal="center"/>
      <protection locked="1" hidden="1"/>
    </xf>
    <xf numFmtId="0" fontId="6" fillId="0" borderId="0" applyAlignment="1" applyProtection="1" pivotButton="0" quotePrefix="0" xfId="0">
      <alignment horizontal="left" vertical="center"/>
      <protection locked="1" hidden="1"/>
    </xf>
    <xf numFmtId="0" fontId="23" fillId="0" borderId="0" applyAlignment="1" applyProtection="1" pivotButton="0" quotePrefix="0" xfId="0">
      <alignment horizontal="center" vertical="center"/>
      <protection locked="1" hidden="1"/>
    </xf>
    <xf numFmtId="0" fontId="24" fillId="0" borderId="0" applyAlignment="1" applyProtection="1" pivotButton="0" quotePrefix="0" xfId="0">
      <alignment horizontal="center" vertical="center" wrapText="1"/>
      <protection locked="1" hidden="1"/>
    </xf>
    <xf numFmtId="0" fontId="14" fillId="0" borderId="0" applyAlignment="1" applyProtection="1" pivotButton="0" quotePrefix="0" xfId="0">
      <alignment horizontal="center" vertical="center" wrapText="1"/>
      <protection locked="0" hidden="1"/>
    </xf>
    <xf numFmtId="0" fontId="49" fillId="0" borderId="0" pivotButton="0" quotePrefix="0" xfId="0"/>
    <xf numFmtId="0" fontId="7" fillId="4" borderId="6" applyAlignment="1" applyProtection="1" pivotButton="0" quotePrefix="0" xfId="0">
      <alignment horizontal="center"/>
      <protection locked="1" hidden="1"/>
    </xf>
    <xf numFmtId="0" fontId="7" fillId="4" borderId="22" applyAlignment="1" applyProtection="1" pivotButton="0" quotePrefix="0" xfId="0">
      <alignment horizontal="center"/>
      <protection locked="1" hidden="1"/>
    </xf>
    <xf numFmtId="0" fontId="7" fillId="4" borderId="23" applyAlignment="1" applyProtection="1" pivotButton="0" quotePrefix="0" xfId="0">
      <alignment horizontal="left" wrapText="1"/>
      <protection locked="1" hidden="1"/>
    </xf>
    <xf numFmtId="0" fontId="17" fillId="4" borderId="0" applyAlignment="1" applyProtection="1" pivotButton="0" quotePrefix="0" xfId="0">
      <alignment horizontal="center" vertical="center"/>
      <protection locked="1" hidden="1"/>
    </xf>
    <xf numFmtId="0" fontId="16" fillId="0" borderId="121" applyAlignment="1" applyProtection="1" pivotButton="0" quotePrefix="0" xfId="0">
      <alignment horizontal="left" vertical="center"/>
      <protection locked="1" hidden="1"/>
    </xf>
    <xf numFmtId="0" fontId="17" fillId="4" borderId="124" applyAlignment="1" applyProtection="1" pivotButton="0" quotePrefix="0" xfId="0">
      <alignment horizontal="center" vertical="center"/>
      <protection locked="1" hidden="1"/>
    </xf>
    <xf numFmtId="0" fontId="10" fillId="0" borderId="11" applyAlignment="1" applyProtection="1" pivotButton="0" quotePrefix="0" xfId="0">
      <alignment horizontal="center" vertical="center"/>
      <protection locked="0" hidden="1"/>
    </xf>
    <xf numFmtId="0" fontId="14" fillId="5" borderId="0" applyAlignment="1" applyProtection="1" pivotButton="0" quotePrefix="0" xfId="0">
      <alignment horizontal="center" vertical="center"/>
      <protection locked="1" hidden="1"/>
    </xf>
    <xf numFmtId="0" fontId="14" fillId="5" borderId="65" applyAlignment="1" applyProtection="1" pivotButton="0" quotePrefix="0" xfId="0">
      <alignment horizontal="center" vertical="center"/>
      <protection locked="1" hidden="1"/>
    </xf>
    <xf numFmtId="0" fontId="14" fillId="5" borderId="68" applyAlignment="1" applyProtection="1" pivotButton="0" quotePrefix="0" xfId="0">
      <alignment horizontal="center" vertical="center"/>
      <protection locked="1" hidden="1"/>
    </xf>
    <xf numFmtId="1" fontId="14" fillId="5" borderId="68" applyAlignment="1" applyProtection="1" pivotButton="0" quotePrefix="0" xfId="3">
      <alignment horizontal="center" vertical="center"/>
      <protection locked="1" hidden="1"/>
    </xf>
    <xf numFmtId="0" fontId="14" fillId="5" borderId="70" applyAlignment="1" applyProtection="1" pivotButton="0" quotePrefix="0" xfId="0">
      <alignment horizontal="center" vertical="center"/>
      <protection locked="1" hidden="1"/>
    </xf>
    <xf numFmtId="0" fontId="50" fillId="0" borderId="0" applyAlignment="1" applyProtection="1" pivotButton="0" quotePrefix="0" xfId="0">
      <alignment horizontal="center" vertical="center"/>
      <protection locked="1" hidden="1"/>
    </xf>
    <xf numFmtId="0" fontId="50" fillId="0" borderId="66" applyAlignment="1" applyProtection="1" pivotButton="0" quotePrefix="0" xfId="0">
      <alignment horizontal="center" vertical="center"/>
      <protection locked="1" hidden="1"/>
    </xf>
    <xf numFmtId="1" fontId="50" fillId="0" borderId="0" applyAlignment="1" applyProtection="1" pivotButton="0" quotePrefix="0" xfId="3">
      <alignment horizontal="center" vertical="center"/>
      <protection locked="1" hidden="1"/>
    </xf>
    <xf numFmtId="0" fontId="50" fillId="0" borderId="71" applyAlignment="1" applyProtection="1" pivotButton="0" quotePrefix="0" xfId="0">
      <alignment horizontal="center" vertical="center"/>
      <protection locked="1" hidden="1"/>
    </xf>
    <xf numFmtId="0" fontId="7" fillId="4" borderId="50" applyAlignment="1" applyProtection="1" pivotButton="0" quotePrefix="0" xfId="0">
      <alignment horizontal="left" vertical="center"/>
      <protection locked="1" hidden="1"/>
    </xf>
    <xf numFmtId="0" fontId="49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justify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4" fontId="0" fillId="0" borderId="0" applyAlignment="1" applyProtection="1" pivotButton="0" quotePrefix="0" xfId="0">
      <alignment horizontal="center" vertical="center"/>
      <protection locked="0" hidden="0"/>
    </xf>
    <xf numFmtId="0" fontId="49" fillId="0" borderId="128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51" fillId="0" borderId="0" applyAlignment="1" pivotButton="0" quotePrefix="0" xfId="0">
      <alignment horizontal="left" vertical="center" indent="1"/>
    </xf>
    <xf numFmtId="0" fontId="0" fillId="0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0" fontId="37" fillId="0" borderId="6" applyAlignment="1" applyProtection="1" pivotButton="0" quotePrefix="0" xfId="0">
      <alignment horizontal="left" vertical="center"/>
      <protection locked="0" hidden="1"/>
    </xf>
    <xf numFmtId="0" fontId="37" fillId="0" borderId="22" applyAlignment="1" applyProtection="1" pivotButton="0" quotePrefix="0" xfId="0">
      <alignment horizontal="left" vertical="center"/>
      <protection locked="0" hidden="1"/>
    </xf>
    <xf numFmtId="0" fontId="37" fillId="0" borderId="31" applyAlignment="1" applyProtection="1" pivotButton="0" quotePrefix="0" xfId="0">
      <alignment horizontal="left" vertical="center"/>
      <protection locked="0" hidden="1"/>
    </xf>
    <xf numFmtId="0" fontId="37" fillId="0" borderId="32" applyAlignment="1" applyProtection="1" pivotButton="0" quotePrefix="0" xfId="0">
      <alignment horizontal="left" vertical="center"/>
      <protection locked="0" hidden="1"/>
    </xf>
    <xf numFmtId="0" fontId="38" fillId="0" borderId="6" applyAlignment="1" applyProtection="1" pivotButton="0" quotePrefix="0" xfId="0">
      <alignment horizontal="center"/>
      <protection locked="0" hidden="1"/>
    </xf>
    <xf numFmtId="0" fontId="38" fillId="0" borderId="6" applyAlignment="1" applyProtection="1" pivotButton="0" quotePrefix="0" xfId="0">
      <alignment horizontal="center" vertical="center"/>
      <protection locked="0" hidden="1"/>
    </xf>
    <xf numFmtId="0" fontId="7" fillId="0" borderId="24" applyAlignment="1" applyProtection="1" pivotButton="0" quotePrefix="0" xfId="0">
      <alignment horizontal="center"/>
      <protection locked="0" hidden="1"/>
    </xf>
    <xf numFmtId="2" fontId="7" fillId="0" borderId="6" applyAlignment="1" applyProtection="1" pivotButton="0" quotePrefix="0" xfId="0">
      <alignment horizontal="center"/>
      <protection locked="0" hidden="1"/>
    </xf>
    <xf numFmtId="0" fontId="7" fillId="0" borderId="24" applyAlignment="1" applyProtection="1" pivotButton="0" quotePrefix="0" xfId="3">
      <alignment horizontal="center"/>
      <protection locked="0" hidden="1"/>
    </xf>
    <xf numFmtId="0" fontId="7" fillId="0" borderId="24" applyAlignment="1" applyProtection="1" pivotButton="0" quotePrefix="0" xfId="0">
      <alignment horizontal="left" vertical="center"/>
      <protection locked="0" hidden="1"/>
    </xf>
    <xf numFmtId="0" fontId="24" fillId="0" borderId="10" applyAlignment="1" applyProtection="1" pivotButton="0" quotePrefix="0" xfId="0">
      <alignment horizontal="center" vertical="center" wrapText="1"/>
      <protection locked="1" hidden="1"/>
    </xf>
    <xf numFmtId="0" fontId="24" fillId="0" borderId="0" applyAlignment="1" applyProtection="1" pivotButton="0" quotePrefix="0" xfId="0">
      <alignment horizontal="center" vertical="center" wrapText="1"/>
      <protection locked="1" hidden="1"/>
    </xf>
    <xf numFmtId="0" fontId="24" fillId="0" borderId="11" applyAlignment="1" applyProtection="1" pivotButton="0" quotePrefix="0" xfId="0">
      <alignment horizontal="center" vertical="center" wrapText="1"/>
      <protection locked="1" hidden="1"/>
    </xf>
    <xf numFmtId="0" fontId="14" fillId="0" borderId="0" applyAlignment="1" applyProtection="1" pivotButton="0" quotePrefix="0" xfId="0">
      <alignment horizontal="center" vertical="center" wrapText="1"/>
      <protection locked="0" hidden="1"/>
    </xf>
    <xf numFmtId="0" fontId="14" fillId="0" borderId="11" applyAlignment="1" applyProtection="1" pivotButton="0" quotePrefix="0" xfId="0">
      <alignment horizontal="center" vertical="center" wrapText="1"/>
      <protection locked="0" hidden="1"/>
    </xf>
    <xf numFmtId="0" fontId="14" fillId="0" borderId="13" applyAlignment="1" applyProtection="1" pivotButton="0" quotePrefix="0" xfId="0">
      <alignment horizontal="center" vertical="center" wrapText="1"/>
      <protection locked="0" hidden="1"/>
    </xf>
    <xf numFmtId="0" fontId="14" fillId="0" borderId="14" applyAlignment="1" applyProtection="1" pivotButton="0" quotePrefix="0" xfId="0">
      <alignment horizontal="center" vertical="center" wrapText="1"/>
      <protection locked="0" hidden="1"/>
    </xf>
    <xf numFmtId="0" fontId="7" fillId="0" borderId="78" applyAlignment="1" applyProtection="1" pivotButton="0" quotePrefix="0" xfId="0">
      <alignment horizontal="left" vertical="top"/>
      <protection locked="0" hidden="1"/>
    </xf>
    <xf numFmtId="0" fontId="17" fillId="4" borderId="126" applyAlignment="1" applyProtection="1" pivotButton="0" quotePrefix="0" xfId="0">
      <alignment horizontal="center" vertical="center"/>
      <protection locked="1" hidden="1"/>
    </xf>
    <xf numFmtId="0" fontId="17" fillId="4" borderId="127" applyAlignment="1" applyProtection="1" pivotButton="0" quotePrefix="0" xfId="0">
      <alignment horizontal="center" vertical="center"/>
      <protection locked="1" hidden="1"/>
    </xf>
    <xf numFmtId="49" fontId="7" fillId="2" borderId="38" applyAlignment="1" applyProtection="1" pivotButton="0" quotePrefix="0" xfId="0">
      <alignment horizontal="center" vertical="top"/>
      <protection locked="0" hidden="1"/>
    </xf>
    <xf numFmtId="49" fontId="7" fillId="2" borderId="0" applyAlignment="1" applyProtection="1" pivotButton="0" quotePrefix="0" xfId="0">
      <alignment horizontal="center" vertical="top"/>
      <protection locked="0" hidden="1"/>
    </xf>
    <xf numFmtId="49" fontId="7" fillId="2" borderId="11" applyAlignment="1" applyProtection="1" pivotButton="0" quotePrefix="0" xfId="0">
      <alignment horizontal="center" vertical="top"/>
      <protection locked="0" hidden="1"/>
    </xf>
    <xf numFmtId="49" fontId="7" fillId="2" borderId="39" applyAlignment="1" applyProtection="1" pivotButton="0" quotePrefix="0" xfId="0">
      <alignment horizontal="center" vertical="top"/>
      <protection locked="0" hidden="1"/>
    </xf>
    <xf numFmtId="49" fontId="7" fillId="2" borderId="13" applyAlignment="1" applyProtection="1" pivotButton="0" quotePrefix="0" xfId="0">
      <alignment horizontal="center" vertical="top"/>
      <protection locked="0" hidden="1"/>
    </xf>
    <xf numFmtId="49" fontId="7" fillId="2" borderId="14" applyAlignment="1" applyProtection="1" pivotButton="0" quotePrefix="0" xfId="0">
      <alignment horizontal="center" vertical="top"/>
      <protection locked="0" hidden="1"/>
    </xf>
    <xf numFmtId="9" fontId="7" fillId="0" borderId="24" applyAlignment="1" applyProtection="1" pivotButton="0" quotePrefix="0" xfId="3">
      <alignment horizontal="center"/>
      <protection locked="0" hidden="1"/>
    </xf>
    <xf numFmtId="0" fontId="7" fillId="0" borderId="6" applyAlignment="1" applyProtection="1" pivotButton="0" quotePrefix="0" xfId="0">
      <alignment horizontal="center"/>
      <protection locked="0" hidden="1"/>
    </xf>
    <xf numFmtId="0" fontId="7" fillId="0" borderId="6" applyAlignment="1" applyProtection="1" pivotButton="0" quotePrefix="0" xfId="0">
      <alignment horizontal="center" vertical="center"/>
      <protection locked="0" hidden="1"/>
    </xf>
    <xf numFmtId="0" fontId="7" fillId="0" borderId="78" applyAlignment="1" applyProtection="1" pivotButton="0" quotePrefix="0" xfId="0">
      <alignment horizontal="center"/>
      <protection locked="0" hidden="1"/>
    </xf>
    <xf numFmtId="0" fontId="39" fillId="0" borderId="6" applyAlignment="1" applyProtection="1" pivotButton="0" quotePrefix="0" xfId="0">
      <alignment horizontal="center" vertical="center"/>
      <protection locked="0" hidden="1"/>
    </xf>
    <xf numFmtId="0" fontId="21" fillId="4" borderId="15" applyAlignment="1" applyProtection="1" pivotButton="0" quotePrefix="0" xfId="0">
      <alignment horizontal="center" vertical="center"/>
      <protection locked="1" hidden="1"/>
    </xf>
    <xf numFmtId="0" fontId="7" fillId="4" borderId="21" applyAlignment="1" applyProtection="1" pivotButton="0" quotePrefix="0" xfId="0">
      <alignment horizontal="left" vertical="center"/>
      <protection locked="1" hidden="1"/>
    </xf>
    <xf numFmtId="0" fontId="7" fillId="4" borderId="23" applyAlignment="1" applyProtection="1" pivotButton="0" quotePrefix="0" xfId="0">
      <alignment horizontal="left" vertical="center"/>
      <protection locked="1" hidden="1"/>
    </xf>
    <xf numFmtId="0" fontId="7" fillId="0" borderId="6" applyAlignment="1" applyProtection="1" pivotButton="0" quotePrefix="0" xfId="0">
      <alignment horizontal="left" vertical="top"/>
      <protection locked="0" hidden="1"/>
    </xf>
    <xf numFmtId="0" fontId="7" fillId="0" borderId="22" applyAlignment="1" applyProtection="1" pivotButton="0" quotePrefix="0" xfId="0">
      <alignment horizontal="left" vertical="top"/>
      <protection locked="0" hidden="1"/>
    </xf>
    <xf numFmtId="0" fontId="7" fillId="0" borderId="24" applyAlignment="1" applyProtection="1" pivotButton="0" quotePrefix="0" xfId="0">
      <alignment horizontal="left" vertical="top"/>
      <protection locked="0" hidden="1"/>
    </xf>
    <xf numFmtId="0" fontId="7" fillId="0" borderId="25" applyAlignment="1" applyProtection="1" pivotButton="0" quotePrefix="0" xfId="0">
      <alignment horizontal="left" vertical="top"/>
      <protection locked="0" hidden="1"/>
    </xf>
    <xf numFmtId="0" fontId="7" fillId="0" borderId="44" applyAlignment="1" applyProtection="1" pivotButton="0" quotePrefix="0" xfId="0">
      <alignment horizontal="left"/>
      <protection locked="0" hidden="1"/>
    </xf>
    <xf numFmtId="0" fontId="7" fillId="0" borderId="45" applyAlignment="1" applyProtection="1" pivotButton="0" quotePrefix="0" xfId="0">
      <alignment horizontal="left"/>
      <protection locked="0" hidden="1"/>
    </xf>
    <xf numFmtId="0" fontId="7" fillId="0" borderId="46" applyAlignment="1" applyProtection="1" pivotButton="0" quotePrefix="0" xfId="0">
      <alignment horizontal="left"/>
      <protection locked="0" hidden="1"/>
    </xf>
    <xf numFmtId="0" fontId="7" fillId="4" borderId="2" applyAlignment="1" applyProtection="1" pivotButton="0" quotePrefix="0" xfId="0">
      <alignment horizontal="center"/>
      <protection locked="1" hidden="1"/>
    </xf>
    <xf numFmtId="0" fontId="7" fillId="4" borderId="1" applyAlignment="1" applyProtection="1" pivotButton="0" quotePrefix="0" xfId="0">
      <alignment horizontal="center"/>
      <protection locked="1" hidden="1"/>
    </xf>
    <xf numFmtId="0" fontId="7" fillId="4" borderId="43" applyAlignment="1" applyProtection="1" pivotButton="0" quotePrefix="0" xfId="0">
      <alignment horizontal="center"/>
      <protection locked="1" hidden="1"/>
    </xf>
    <xf numFmtId="0" fontId="17" fillId="4" borderId="35" applyAlignment="1" applyProtection="1" pivotButton="0" quotePrefix="0" xfId="0">
      <alignment horizontal="center" vertical="top" wrapText="1"/>
      <protection locked="1" hidden="1"/>
    </xf>
    <xf numFmtId="0" fontId="17" fillId="4" borderId="36" applyAlignment="1" applyProtection="1" pivotButton="0" quotePrefix="0" xfId="0">
      <alignment horizontal="center" vertical="top" wrapText="1"/>
      <protection locked="1" hidden="1"/>
    </xf>
    <xf numFmtId="0" fontId="17" fillId="4" borderId="37" applyAlignment="1" applyProtection="1" pivotButton="0" quotePrefix="0" xfId="0">
      <alignment horizontal="center" vertical="top" wrapText="1"/>
      <protection locked="1" hidden="1"/>
    </xf>
    <xf numFmtId="0" fontId="17" fillId="4" borderId="39" applyAlignment="1" applyProtection="1" pivotButton="0" quotePrefix="0" xfId="0">
      <alignment horizontal="center" vertical="top" wrapText="1"/>
      <protection locked="1" hidden="1"/>
    </xf>
    <xf numFmtId="0" fontId="17" fillId="4" borderId="13" applyAlignment="1" applyProtection="1" pivotButton="0" quotePrefix="0" xfId="0">
      <alignment horizontal="center" vertical="top" wrapText="1"/>
      <protection locked="1" hidden="1"/>
    </xf>
    <xf numFmtId="0" fontId="17" fillId="4" borderId="14" applyAlignment="1" applyProtection="1" pivotButton="0" quotePrefix="0" xfId="0">
      <alignment horizontal="center" vertical="top" wrapText="1"/>
      <protection locked="1" hidden="1"/>
    </xf>
    <xf numFmtId="0" fontId="23" fillId="4" borderId="26" applyAlignment="1" applyProtection="1" pivotButton="0" quotePrefix="0" xfId="0">
      <alignment horizontal="center" vertical="center"/>
      <protection locked="1" hidden="1"/>
    </xf>
    <xf numFmtId="0" fontId="23" fillId="4" borderId="27" applyAlignment="1" applyProtection="1" pivotButton="0" quotePrefix="0" xfId="0">
      <alignment horizontal="center" vertical="center"/>
      <protection locked="1" hidden="1"/>
    </xf>
    <xf numFmtId="0" fontId="23" fillId="4" borderId="28" applyAlignment="1" applyProtection="1" pivotButton="0" quotePrefix="0" xfId="0">
      <alignment horizontal="center" vertical="center"/>
      <protection locked="1" hidden="1"/>
    </xf>
    <xf numFmtId="0" fontId="43" fillId="0" borderId="7" applyAlignment="1" applyProtection="1" pivotButton="0" quotePrefix="0" xfId="5">
      <alignment horizontal="center" vertical="center" wrapText="1"/>
      <protection locked="1" hidden="1"/>
    </xf>
    <xf numFmtId="0" fontId="43" fillId="0" borderId="8" applyAlignment="1" applyProtection="1" pivotButton="0" quotePrefix="0" xfId="5">
      <alignment horizontal="center" vertical="center" wrapText="1"/>
      <protection locked="1" hidden="1"/>
    </xf>
    <xf numFmtId="0" fontId="43" fillId="0" borderId="9" applyAlignment="1" applyProtection="1" pivotButton="0" quotePrefix="0" xfId="5">
      <alignment horizontal="center" vertical="center" wrapText="1"/>
      <protection locked="1" hidden="1"/>
    </xf>
    <xf numFmtId="0" fontId="43" fillId="0" borderId="10" applyAlignment="1" applyProtection="1" pivotButton="0" quotePrefix="0" xfId="5">
      <alignment horizontal="center" vertical="center" wrapText="1"/>
      <protection locked="1" hidden="1"/>
    </xf>
    <xf numFmtId="0" fontId="43" fillId="0" borderId="0" applyAlignment="1" applyProtection="1" pivotButton="0" quotePrefix="0" xfId="5">
      <alignment horizontal="center" vertical="center" wrapText="1"/>
      <protection locked="1" hidden="1"/>
    </xf>
    <xf numFmtId="0" fontId="43" fillId="0" borderId="11" applyAlignment="1" applyProtection="1" pivotButton="0" quotePrefix="0" xfId="5">
      <alignment horizontal="center" vertical="center" wrapText="1"/>
      <protection locked="1" hidden="1"/>
    </xf>
    <xf numFmtId="0" fontId="43" fillId="0" borderId="12" applyAlignment="1" applyProtection="1" pivotButton="0" quotePrefix="0" xfId="5">
      <alignment horizontal="center" vertical="center" wrapText="1"/>
      <protection locked="1" hidden="1"/>
    </xf>
    <xf numFmtId="0" fontId="43" fillId="0" borderId="13" applyAlignment="1" applyProtection="1" pivotButton="0" quotePrefix="0" xfId="5">
      <alignment horizontal="center" vertical="center" wrapText="1"/>
      <protection locked="1" hidden="1"/>
    </xf>
    <xf numFmtId="0" fontId="43" fillId="0" borderId="14" applyAlignment="1" applyProtection="1" pivotButton="0" quotePrefix="0" xfId="5">
      <alignment horizontal="center" vertical="center" wrapText="1"/>
      <protection locked="1" hidden="1"/>
    </xf>
    <xf numFmtId="0" fontId="17" fillId="5" borderId="26" applyAlignment="1" applyProtection="1" pivotButton="0" quotePrefix="0" xfId="0">
      <alignment horizontal="center" vertical="center"/>
      <protection locked="1" hidden="1"/>
    </xf>
    <xf numFmtId="0" fontId="17" fillId="5" borderId="27" applyAlignment="1" applyProtection="1" pivotButton="0" quotePrefix="0" xfId="0">
      <alignment horizontal="center" vertical="center"/>
      <protection locked="1" hidden="1"/>
    </xf>
    <xf numFmtId="9" fontId="40" fillId="5" borderId="27" applyAlignment="1" applyProtection="1" pivotButton="0" quotePrefix="0" xfId="3">
      <alignment horizontal="center" vertical="center"/>
      <protection locked="1" hidden="1"/>
    </xf>
    <xf numFmtId="9" fontId="40" fillId="5" borderId="28" applyAlignment="1" applyProtection="1" pivotButton="0" quotePrefix="0" xfId="3">
      <alignment horizontal="center" vertical="center"/>
      <protection locked="1" hidden="1"/>
    </xf>
    <xf numFmtId="0" fontId="38" fillId="0" borderId="24" applyAlignment="1" applyProtection="1" pivotButton="0" quotePrefix="0" xfId="0">
      <alignment horizontal="center"/>
      <protection locked="0" hidden="1"/>
    </xf>
    <xf numFmtId="0" fontId="7" fillId="0" borderId="6" applyAlignment="1" applyProtection="1" pivotButton="0" quotePrefix="0" xfId="0">
      <alignment horizontal="left"/>
      <protection locked="0" hidden="1"/>
    </xf>
    <xf numFmtId="0" fontId="4" fillId="0" borderId="6" applyAlignment="1" applyProtection="1" pivotButton="0" quotePrefix="0" xfId="5">
      <alignment horizontal="left" vertical="center"/>
      <protection locked="0" hidden="1"/>
    </xf>
    <xf numFmtId="0" fontId="25" fillId="0" borderId="6" applyAlignment="1" applyProtection="1" pivotButton="0" quotePrefix="0" xfId="0">
      <alignment horizontal="center" vertical="center"/>
      <protection locked="0" hidden="1"/>
    </xf>
    <xf numFmtId="0" fontId="25" fillId="0" borderId="24" applyAlignment="1" applyProtection="1" pivotButton="0" quotePrefix="0" xfId="0">
      <alignment horizontal="center" vertical="center"/>
      <protection locked="0" hidden="1"/>
    </xf>
    <xf numFmtId="0" fontId="7" fillId="0" borderId="33" applyAlignment="1" applyProtection="1" pivotButton="0" quotePrefix="0" xfId="0">
      <alignment horizontal="center"/>
      <protection locked="0" hidden="1"/>
    </xf>
    <xf numFmtId="0" fontId="7" fillId="5" borderId="0" applyAlignment="1" applyProtection="1" pivotButton="0" quotePrefix="0" xfId="0">
      <alignment horizontal="center"/>
      <protection locked="1" hidden="1"/>
    </xf>
    <xf numFmtId="0" fontId="7" fillId="5" borderId="53" applyAlignment="1" applyProtection="1" pivotButton="0" quotePrefix="0" xfId="0">
      <alignment horizontal="center"/>
      <protection locked="1" hidden="1"/>
    </xf>
    <xf numFmtId="0" fontId="7" fillId="4" borderId="58" applyAlignment="1" applyProtection="1" pivotButton="0" quotePrefix="0" xfId="0">
      <alignment horizontal="left" vertical="center"/>
      <protection locked="1" hidden="1"/>
    </xf>
    <xf numFmtId="0" fontId="7" fillId="4" borderId="59" applyAlignment="1" applyProtection="1" pivotButton="0" quotePrefix="0" xfId="0">
      <alignment horizontal="left" vertical="center"/>
      <protection locked="1" hidden="1"/>
    </xf>
    <xf numFmtId="0" fontId="37" fillId="0" borderId="24" applyAlignment="1" applyProtection="1" pivotButton="0" quotePrefix="0" xfId="0">
      <alignment horizontal="left" vertical="center"/>
      <protection locked="0" hidden="1"/>
    </xf>
    <xf numFmtId="0" fontId="37" fillId="0" borderId="25" applyAlignment="1" applyProtection="1" pivotButton="0" quotePrefix="0" xfId="0">
      <alignment horizontal="left" vertical="center"/>
      <protection locked="0" hidden="1"/>
    </xf>
    <xf numFmtId="0" fontId="24" fillId="4" borderId="26" applyAlignment="1" applyProtection="1" pivotButton="0" quotePrefix="0" xfId="0">
      <alignment horizontal="center" vertical="center"/>
      <protection locked="1" hidden="1"/>
    </xf>
    <xf numFmtId="0" fontId="24" fillId="4" borderId="27" applyAlignment="1" applyProtection="1" pivotButton="0" quotePrefix="0" xfId="0">
      <alignment horizontal="center" vertical="center"/>
      <protection locked="1" hidden="1"/>
    </xf>
    <xf numFmtId="0" fontId="24" fillId="4" borderId="28" applyAlignment="1" applyProtection="1" pivotButton="0" quotePrefix="0" xfId="0">
      <alignment horizontal="center" vertical="center"/>
      <protection locked="1" hidden="1"/>
    </xf>
    <xf numFmtId="49" fontId="37" fillId="0" borderId="76" applyAlignment="1" applyProtection="1" pivotButton="0" quotePrefix="0" xfId="0">
      <alignment horizontal="left" vertical="center"/>
      <protection locked="0" hidden="1"/>
    </xf>
    <xf numFmtId="49" fontId="37" fillId="0" borderId="59" applyAlignment="1" applyProtection="1" pivotButton="0" quotePrefix="0" xfId="0">
      <alignment horizontal="left" vertical="center"/>
      <protection locked="0" hidden="1"/>
    </xf>
    <xf numFmtId="49" fontId="37" fillId="0" borderId="77" applyAlignment="1" applyProtection="1" pivotButton="0" quotePrefix="0" xfId="0">
      <alignment horizontal="left" vertical="center"/>
      <protection locked="0" hidden="1"/>
    </xf>
    <xf numFmtId="0" fontId="7" fillId="0" borderId="76" applyAlignment="1" applyProtection="1" pivotButton="0" quotePrefix="0" xfId="0">
      <alignment horizontal="center" vertical="center"/>
      <protection locked="1" hidden="1"/>
    </xf>
    <xf numFmtId="0" fontId="7" fillId="0" borderId="59" applyAlignment="1" applyProtection="1" pivotButton="0" quotePrefix="0" xfId="0">
      <alignment horizontal="center" vertical="center"/>
      <protection locked="1" hidden="1"/>
    </xf>
    <xf numFmtId="0" fontId="7" fillId="0" borderId="109" applyAlignment="1" applyProtection="1" pivotButton="0" quotePrefix="0" xfId="0">
      <alignment horizontal="center" vertical="center"/>
      <protection locked="1" hidden="1"/>
    </xf>
    <xf numFmtId="0" fontId="7" fillId="0" borderId="79" applyAlignment="1" applyProtection="1" pivotButton="0" quotePrefix="0" xfId="0">
      <alignment horizontal="left" vertical="top"/>
      <protection locked="0" hidden="1"/>
    </xf>
    <xf numFmtId="10" fontId="7" fillId="0" borderId="76" applyAlignment="1" applyProtection="1" pivotButton="0" quotePrefix="0" xfId="3">
      <alignment horizontal="left" vertical="top"/>
      <protection locked="0" hidden="1"/>
    </xf>
    <xf numFmtId="10" fontId="7" fillId="0" borderId="59" applyAlignment="1" applyProtection="1" pivotButton="0" quotePrefix="0" xfId="3">
      <alignment horizontal="left" vertical="top"/>
      <protection locked="0" hidden="1"/>
    </xf>
    <xf numFmtId="10" fontId="7" fillId="0" borderId="77" applyAlignment="1" applyProtection="1" pivotButton="0" quotePrefix="0" xfId="3">
      <alignment horizontal="left" vertical="top"/>
      <protection locked="0" hidden="1"/>
    </xf>
    <xf numFmtId="0" fontId="17" fillId="4" borderId="0" applyAlignment="1" applyProtection="1" pivotButton="0" quotePrefix="0" xfId="0">
      <alignment horizontal="center" vertical="top" wrapText="1"/>
      <protection locked="1" hidden="1"/>
    </xf>
    <xf numFmtId="0" fontId="17" fillId="4" borderId="11" applyAlignment="1" applyProtection="1" pivotButton="0" quotePrefix="0" xfId="0">
      <alignment horizontal="center" vertical="top" wrapText="1"/>
      <protection locked="1" hidden="1"/>
    </xf>
    <xf numFmtId="0" fontId="17" fillId="4" borderId="53" applyAlignment="1" applyProtection="1" pivotButton="0" quotePrefix="0" xfId="0">
      <alignment horizontal="center" vertical="top" wrapText="1"/>
      <protection locked="1" hidden="1"/>
    </xf>
    <xf numFmtId="0" fontId="17" fillId="4" borderId="54" applyAlignment="1" applyProtection="1" pivotButton="0" quotePrefix="0" xfId="0">
      <alignment horizontal="center" vertical="top" wrapText="1"/>
      <protection locked="1" hidden="1"/>
    </xf>
    <xf numFmtId="0" fontId="10" fillId="4" borderId="56" applyAlignment="1" applyProtection="1" pivotButton="0" quotePrefix="0" xfId="0">
      <alignment horizontal="center"/>
      <protection locked="1" hidden="1"/>
    </xf>
    <xf numFmtId="0" fontId="10" fillId="4" borderId="8" applyAlignment="1" applyProtection="1" pivotButton="0" quotePrefix="0" xfId="0">
      <alignment horizontal="center"/>
      <protection locked="1" hidden="1"/>
    </xf>
    <xf numFmtId="0" fontId="10" fillId="4" borderId="9" applyAlignment="1" applyProtection="1" pivotButton="0" quotePrefix="0" xfId="0">
      <alignment horizontal="center"/>
      <protection locked="1" hidden="1"/>
    </xf>
    <xf numFmtId="0" fontId="10" fillId="4" borderId="38" applyAlignment="1" applyProtection="1" pivotButton="0" quotePrefix="0" xfId="0">
      <alignment horizontal="center"/>
      <protection locked="1" hidden="1"/>
    </xf>
    <xf numFmtId="0" fontId="10" fillId="4" borderId="0" applyAlignment="1" applyProtection="1" pivotButton="0" quotePrefix="0" xfId="0">
      <alignment horizontal="center"/>
      <protection locked="1" hidden="1"/>
    </xf>
    <xf numFmtId="0" fontId="10" fillId="4" borderId="11" applyAlignment="1" applyProtection="1" pivotButton="0" quotePrefix="0" xfId="0">
      <alignment horizontal="center"/>
      <protection locked="1" hidden="1"/>
    </xf>
    <xf numFmtId="0" fontId="10" fillId="4" borderId="39" applyAlignment="1" applyProtection="1" pivotButton="0" quotePrefix="0" xfId="0">
      <alignment horizontal="center"/>
      <protection locked="1" hidden="1"/>
    </xf>
    <xf numFmtId="0" fontId="10" fillId="4" borderId="13" applyAlignment="1" applyProtection="1" pivotButton="0" quotePrefix="0" xfId="0">
      <alignment horizontal="center"/>
      <protection locked="1" hidden="1"/>
    </xf>
    <xf numFmtId="0" fontId="10" fillId="4" borderId="14" applyAlignment="1" applyProtection="1" pivotButton="0" quotePrefix="0" xfId="0">
      <alignment horizontal="center"/>
      <protection locked="1" hidden="1"/>
    </xf>
    <xf numFmtId="0" fontId="7" fillId="4" borderId="7" applyAlignment="1" applyProtection="1" pivotButton="0" quotePrefix="0" xfId="0">
      <alignment horizontal="left" vertical="center" wrapText="1"/>
      <protection locked="1" hidden="1"/>
    </xf>
    <xf numFmtId="0" fontId="7" fillId="4" borderId="8" applyAlignment="1" applyProtection="1" pivotButton="0" quotePrefix="0" xfId="0">
      <alignment horizontal="left" vertical="center" wrapText="1"/>
      <protection locked="1" hidden="1"/>
    </xf>
    <xf numFmtId="0" fontId="7" fillId="4" borderId="60" applyAlignment="1" applyProtection="1" pivotButton="0" quotePrefix="0" xfId="0">
      <alignment horizontal="left" vertical="center" wrapText="1"/>
      <protection locked="1" hidden="1"/>
    </xf>
    <xf numFmtId="0" fontId="26" fillId="4" borderId="26" applyAlignment="1" applyProtection="1" pivotButton="0" quotePrefix="0" xfId="0">
      <alignment horizontal="center" vertical="center"/>
      <protection locked="1" hidden="1"/>
    </xf>
    <xf numFmtId="0" fontId="26" fillId="4" borderId="27" applyAlignment="1" applyProtection="1" pivotButton="0" quotePrefix="0" xfId="0">
      <alignment horizontal="center" vertical="center"/>
      <protection locked="1" hidden="1"/>
    </xf>
    <xf numFmtId="0" fontId="26" fillId="4" borderId="28" applyAlignment="1" applyProtection="1" pivotButton="0" quotePrefix="0" xfId="0">
      <alignment horizontal="center" vertical="center"/>
      <protection locked="1" hidden="1"/>
    </xf>
    <xf numFmtId="0" fontId="7" fillId="5" borderId="61" applyAlignment="1" applyProtection="1" pivotButton="0" quotePrefix="0" xfId="0">
      <alignment horizontal="center"/>
      <protection locked="0" hidden="1"/>
    </xf>
    <xf numFmtId="0" fontId="7" fillId="5" borderId="27" applyAlignment="1" applyProtection="1" pivotButton="0" quotePrefix="0" xfId="0">
      <alignment horizontal="center"/>
      <protection locked="0" hidden="1"/>
    </xf>
    <xf numFmtId="0" fontId="7" fillId="5" borderId="28" applyAlignment="1" applyProtection="1" pivotButton="0" quotePrefix="0" xfId="0">
      <alignment horizontal="center"/>
      <protection locked="0" hidden="1"/>
    </xf>
    <xf numFmtId="0" fontId="7" fillId="0" borderId="7" applyAlignment="1" applyProtection="1" pivotButton="0" quotePrefix="0" xfId="0">
      <alignment horizontal="center" vertical="center"/>
      <protection locked="1" hidden="1"/>
    </xf>
    <xf numFmtId="0" fontId="7" fillId="0" borderId="8" applyAlignment="1" applyProtection="1" pivotButton="0" quotePrefix="0" xfId="0">
      <alignment horizontal="center" vertical="center"/>
      <protection locked="1" hidden="1"/>
    </xf>
    <xf numFmtId="0" fontId="7" fillId="0" borderId="9" applyAlignment="1" applyProtection="1" pivotButton="0" quotePrefix="0" xfId="0">
      <alignment horizontal="center" vertical="center"/>
      <protection locked="1" hidden="1"/>
    </xf>
    <xf numFmtId="0" fontId="7" fillId="0" borderId="10" applyAlignment="1" applyProtection="1" pivotButton="0" quotePrefix="0" xfId="0">
      <alignment horizontal="center" vertical="center"/>
      <protection locked="1" hidden="1"/>
    </xf>
    <xf numFmtId="0" fontId="7" fillId="0" borderId="0" applyAlignment="1" applyProtection="1" pivotButton="0" quotePrefix="0" xfId="0">
      <alignment horizontal="center" vertical="center"/>
      <protection locked="1" hidden="1"/>
    </xf>
    <xf numFmtId="0" fontId="7" fillId="0" borderId="11" applyAlignment="1" applyProtection="1" pivotButton="0" quotePrefix="0" xfId="0">
      <alignment horizontal="center" vertical="center"/>
      <protection locked="1" hidden="1"/>
    </xf>
    <xf numFmtId="0" fontId="7" fillId="4" borderId="57" applyAlignment="1" applyProtection="1" pivotButton="0" quotePrefix="0" xfId="0">
      <alignment horizontal="left" vertical="center"/>
      <protection locked="1" hidden="1"/>
    </xf>
    <xf numFmtId="0" fontId="7" fillId="4" borderId="53" applyAlignment="1" applyProtection="1" pivotButton="0" quotePrefix="0" xfId="0">
      <alignment horizontal="left" vertical="center"/>
      <protection locked="1" hidden="1"/>
    </xf>
    <xf numFmtId="166" fontId="7" fillId="0" borderId="78" applyAlignment="1" applyProtection="1" pivotButton="0" quotePrefix="0" xfId="2">
      <alignment horizontal="center"/>
      <protection locked="0" hidden="1"/>
    </xf>
    <xf numFmtId="0" fontId="50" fillId="0" borderId="11" applyAlignment="1" applyProtection="1" pivotButton="0" quotePrefix="0" xfId="0">
      <alignment horizontal="center" vertical="center"/>
      <protection locked="1" hidden="1"/>
    </xf>
    <xf numFmtId="0" fontId="21" fillId="0" borderId="26" applyAlignment="1" applyProtection="1" pivotButton="0" quotePrefix="0" xfId="0">
      <alignment horizontal="center" vertical="center" wrapText="1"/>
      <protection locked="1" hidden="1"/>
    </xf>
    <xf numFmtId="0" fontId="21" fillId="0" borderId="27" applyAlignment="1" applyProtection="1" pivotButton="0" quotePrefix="0" xfId="0">
      <alignment horizontal="center" vertical="center"/>
      <protection locked="1" hidden="1"/>
    </xf>
    <xf numFmtId="0" fontId="21" fillId="0" borderId="28" applyAlignment="1" applyProtection="1" pivotButton="0" quotePrefix="0" xfId="0">
      <alignment horizontal="center" vertical="center"/>
      <protection locked="1" hidden="1"/>
    </xf>
    <xf numFmtId="14" fontId="25" fillId="0" borderId="52" applyAlignment="1" applyProtection="1" pivotButton="0" quotePrefix="0" xfId="0">
      <alignment horizontal="center" vertical="center"/>
      <protection locked="0" hidden="1"/>
    </xf>
    <xf numFmtId="0" fontId="25" fillId="0" borderId="53" applyAlignment="1" applyProtection="1" pivotButton="0" quotePrefix="0" xfId="0">
      <alignment horizontal="center" vertical="center"/>
      <protection locked="0" hidden="1"/>
    </xf>
    <xf numFmtId="0" fontId="25" fillId="0" borderId="54" applyAlignment="1" applyProtection="1" pivotButton="0" quotePrefix="0" xfId="0">
      <alignment horizontal="center" vertical="center"/>
      <protection locked="0" hidden="1"/>
    </xf>
    <xf numFmtId="0" fontId="25" fillId="0" borderId="52" applyAlignment="1" applyProtection="1" pivotButton="0" quotePrefix="0" xfId="0">
      <alignment horizontal="center" vertical="center"/>
      <protection locked="0" hidden="1"/>
    </xf>
    <xf numFmtId="167" fontId="7" fillId="0" borderId="78" applyAlignment="1" applyProtection="1" pivotButton="0" quotePrefix="0" xfId="0">
      <alignment horizontal="left" vertical="top"/>
      <protection locked="0" hidden="1"/>
    </xf>
    <xf numFmtId="0" fontId="28" fillId="0" borderId="74" applyAlignment="1" applyProtection="1" pivotButton="0" quotePrefix="0" xfId="0">
      <alignment horizontal="center" vertical="center"/>
      <protection locked="1" hidden="1"/>
    </xf>
    <xf numFmtId="0" fontId="28" fillId="0" borderId="75" applyAlignment="1" applyProtection="1" pivotButton="0" quotePrefix="0" xfId="0">
      <alignment horizontal="center" vertical="center"/>
      <protection locked="1" hidden="1"/>
    </xf>
    <xf numFmtId="0" fontId="21" fillId="4" borderId="122" applyAlignment="1" applyProtection="1" pivotButton="0" quotePrefix="0" xfId="0">
      <alignment horizontal="left" vertical="top" wrapText="1"/>
      <protection locked="1" hidden="1"/>
    </xf>
    <xf numFmtId="0" fontId="21" fillId="4" borderId="123" applyAlignment="1" applyProtection="1" pivotButton="0" quotePrefix="0" xfId="0">
      <alignment horizontal="left" vertical="top" wrapText="1"/>
      <protection locked="1" hidden="1"/>
    </xf>
    <xf numFmtId="0" fontId="10" fillId="0" borderId="78" applyAlignment="1" applyProtection="1" pivotButton="0" quotePrefix="0" xfId="0">
      <alignment horizontal="center" vertical="center"/>
      <protection locked="0" hidden="1"/>
    </xf>
    <xf numFmtId="0" fontId="10" fillId="0" borderId="125" applyAlignment="1" applyProtection="1" pivotButton="0" quotePrefix="0" xfId="0">
      <alignment horizontal="center" vertical="center"/>
      <protection locked="0" hidden="1"/>
    </xf>
    <xf numFmtId="0" fontId="7" fillId="4" borderId="35" applyAlignment="1" applyProtection="1" pivotButton="0" quotePrefix="0" xfId="0">
      <alignment horizontal="center" vertical="center"/>
      <protection locked="1" hidden="1"/>
    </xf>
    <xf numFmtId="0" fontId="7" fillId="4" borderId="36" applyAlignment="1" applyProtection="1" pivotButton="0" quotePrefix="0" xfId="0">
      <alignment horizontal="center" vertical="center"/>
      <protection locked="1" hidden="1"/>
    </xf>
    <xf numFmtId="0" fontId="7" fillId="4" borderId="37" applyAlignment="1" applyProtection="1" pivotButton="0" quotePrefix="0" xfId="0">
      <alignment horizontal="center" vertical="center"/>
      <protection locked="1" hidden="1"/>
    </xf>
    <xf numFmtId="0" fontId="7" fillId="4" borderId="38" applyAlignment="1" applyProtection="1" pivotButton="0" quotePrefix="0" xfId="0">
      <alignment horizontal="center" vertical="center"/>
      <protection locked="1" hidden="1"/>
    </xf>
    <xf numFmtId="0" fontId="7" fillId="4" borderId="0" applyAlignment="1" applyProtection="1" pivotButton="0" quotePrefix="0" xfId="0">
      <alignment horizontal="center" vertical="center"/>
      <protection locked="1" hidden="1"/>
    </xf>
    <xf numFmtId="0" fontId="7" fillId="4" borderId="11" applyAlignment="1" applyProtection="1" pivotButton="0" quotePrefix="0" xfId="0">
      <alignment horizontal="center" vertical="center"/>
      <protection locked="1" hidden="1"/>
    </xf>
    <xf numFmtId="0" fontId="7" fillId="4" borderId="39" applyAlignment="1" applyProtection="1" pivotButton="0" quotePrefix="0" xfId="0">
      <alignment horizontal="center" vertical="center"/>
      <protection locked="1" hidden="1"/>
    </xf>
    <xf numFmtId="0" fontId="7" fillId="4" borderId="13" applyAlignment="1" applyProtection="1" pivotButton="0" quotePrefix="0" xfId="0">
      <alignment horizontal="center" vertical="center"/>
      <protection locked="1" hidden="1"/>
    </xf>
    <xf numFmtId="0" fontId="7" fillId="4" borderId="14" applyAlignment="1" applyProtection="1" pivotButton="0" quotePrefix="0" xfId="0">
      <alignment horizontal="center" vertical="center"/>
      <protection locked="1" hidden="1"/>
    </xf>
    <xf numFmtId="0" fontId="31" fillId="4" borderId="34" applyAlignment="1" applyProtection="1" pivotButton="0" quotePrefix="0" xfId="0">
      <alignment horizontal="center" vertical="center"/>
      <protection locked="1" hidden="1"/>
    </xf>
    <xf numFmtId="0" fontId="31" fillId="4" borderId="15" applyAlignment="1" applyProtection="1" pivotButton="0" quotePrefix="0" xfId="0">
      <alignment horizontal="center" vertical="center"/>
      <protection locked="1" hidden="1"/>
    </xf>
    <xf numFmtId="0" fontId="25" fillId="0" borderId="15" applyAlignment="1" applyProtection="1" pivotButton="0" quotePrefix="0" xfId="0">
      <alignment horizontal="center" vertical="center"/>
      <protection locked="0" hidden="1"/>
    </xf>
    <xf numFmtId="0" fontId="6" fillId="0" borderId="0" applyAlignment="1" applyProtection="1" pivotButton="0" quotePrefix="0" xfId="0">
      <alignment horizontal="left" vertical="center"/>
      <protection locked="1" hidden="1"/>
    </xf>
    <xf numFmtId="0" fontId="8" fillId="0" borderId="0" applyAlignment="1" applyProtection="1" pivotButton="0" quotePrefix="0" xfId="0">
      <alignment horizontal="left" vertical="center"/>
      <protection locked="1" hidden="1"/>
    </xf>
    <xf numFmtId="0" fontId="5" fillId="0" borderId="0" applyAlignment="1" applyProtection="1" pivotButton="0" quotePrefix="0" xfId="5">
      <alignment horizontal="center" vertical="center" wrapText="1"/>
      <protection locked="1" hidden="1"/>
    </xf>
    <xf numFmtId="0" fontId="22" fillId="0" borderId="0" applyAlignment="1" applyProtection="1" pivotButton="0" quotePrefix="0" xfId="5">
      <alignment horizontal="center" vertical="center"/>
      <protection locked="1" hidden="1"/>
    </xf>
    <xf numFmtId="0" fontId="7" fillId="0" borderId="22" applyAlignment="1" applyProtection="1" pivotButton="0" quotePrefix="0" xfId="0">
      <alignment horizontal="center"/>
      <protection locked="0" hidden="1"/>
    </xf>
    <xf numFmtId="0" fontId="7" fillId="0" borderId="25" applyAlignment="1" applyProtection="1" pivotButton="0" quotePrefix="0" xfId="0">
      <alignment horizontal="center"/>
      <protection locked="0" hidden="1"/>
    </xf>
    <xf numFmtId="0" fontId="36" fillId="0" borderId="6" applyAlignment="1" applyProtection="1" pivotButton="0" quotePrefix="0" xfId="0">
      <alignment horizontal="center" vertical="center"/>
      <protection locked="0" hidden="1"/>
    </xf>
    <xf numFmtId="0" fontId="7" fillId="0" borderId="6" applyAlignment="1" applyProtection="1" pivotButton="0" quotePrefix="0" xfId="0">
      <alignment horizontal="left" vertical="center"/>
      <protection locked="0" hidden="1"/>
    </xf>
    <xf numFmtId="0" fontId="21" fillId="4" borderId="15" applyAlignment="1" applyProtection="1" pivotButton="0" quotePrefix="0" xfId="0">
      <alignment horizontal="center" vertical="center"/>
      <protection locked="0" hidden="1"/>
    </xf>
    <xf numFmtId="0" fontId="11" fillId="4" borderId="6" applyAlignment="1" applyProtection="1" pivotButton="0" quotePrefix="0" xfId="0">
      <alignment horizontal="left" vertical="center"/>
      <protection locked="1" hidden="1"/>
    </xf>
    <xf numFmtId="0" fontId="11" fillId="4" borderId="101" applyAlignment="1" applyProtection="1" pivotButton="0" quotePrefix="0" xfId="0">
      <alignment horizontal="left" vertical="center"/>
      <protection locked="1" hidden="1"/>
    </xf>
    <xf numFmtId="0" fontId="7" fillId="0" borderId="22" applyAlignment="1" applyProtection="1" pivotButton="0" quotePrefix="0" xfId="0">
      <alignment horizontal="center" vertical="center"/>
      <protection locked="0" hidden="1"/>
    </xf>
    <xf numFmtId="0" fontId="7" fillId="0" borderId="29" applyAlignment="1" applyProtection="1" pivotButton="0" quotePrefix="0" xfId="0">
      <alignment horizontal="center" vertical="center"/>
      <protection locked="0" hidden="1"/>
    </xf>
    <xf numFmtId="0" fontId="7" fillId="0" borderId="62" applyAlignment="1" applyProtection="1" pivotButton="0" quotePrefix="0" xfId="0">
      <alignment horizontal="center" vertical="center"/>
      <protection locked="0" hidden="1"/>
    </xf>
    <xf numFmtId="0" fontId="7" fillId="0" borderId="24" applyAlignment="1" applyProtection="1" pivotButton="0" quotePrefix="0" xfId="0">
      <alignment horizontal="center" vertical="center"/>
      <protection locked="0" hidden="1"/>
    </xf>
    <xf numFmtId="0" fontId="7" fillId="0" borderId="25" applyAlignment="1" applyProtection="1" pivotButton="0" quotePrefix="0" xfId="0">
      <alignment horizontal="center" vertical="center"/>
      <protection locked="0" hidden="1"/>
    </xf>
    <xf numFmtId="0" fontId="29" fillId="4" borderId="15" applyAlignment="1" applyProtection="1" pivotButton="0" quotePrefix="0" xfId="0">
      <alignment horizontal="center"/>
      <protection locked="1" hidden="1"/>
    </xf>
    <xf numFmtId="0" fontId="29" fillId="4" borderId="20" applyAlignment="1" applyProtection="1" pivotButton="0" quotePrefix="0" xfId="0">
      <alignment horizontal="center"/>
      <protection locked="1" hidden="1"/>
    </xf>
    <xf numFmtId="0" fontId="38" fillId="0" borderId="22" applyAlignment="1" applyProtection="1" pivotButton="0" quotePrefix="0" xfId="0">
      <alignment horizontal="center" vertical="center"/>
      <protection locked="0" hidden="1"/>
    </xf>
    <xf numFmtId="0" fontId="38" fillId="0" borderId="22" applyAlignment="1" applyProtection="1" pivotButton="0" quotePrefix="0" xfId="0">
      <alignment horizontal="center"/>
      <protection locked="0" hidden="1"/>
    </xf>
    <xf numFmtId="0" fontId="21" fillId="4" borderId="15" applyAlignment="1" applyProtection="1" pivotButton="0" quotePrefix="0" xfId="0">
      <alignment horizontal="left" vertical="top" wrapText="1"/>
      <protection locked="1" hidden="1"/>
    </xf>
    <xf numFmtId="0" fontId="21" fillId="4" borderId="20" applyAlignment="1" applyProtection="1" pivotButton="0" quotePrefix="0" xfId="0">
      <alignment horizontal="left" vertical="top" wrapText="1"/>
      <protection locked="1" hidden="1"/>
    </xf>
    <xf numFmtId="9" fontId="7" fillId="0" borderId="24" applyAlignment="1" applyProtection="1" pivotButton="0" quotePrefix="0" xfId="3">
      <alignment horizontal="center" vertical="center"/>
      <protection locked="0" hidden="1"/>
    </xf>
    <xf numFmtId="164" fontId="2" fillId="0" borderId="78" applyAlignment="1" applyProtection="1" pivotButton="0" quotePrefix="0" xfId="4">
      <alignment horizontal="center"/>
      <protection locked="1" hidden="1"/>
    </xf>
    <xf numFmtId="164" fontId="2" fillId="0" borderId="92" applyAlignment="1" applyProtection="1" pivotButton="0" quotePrefix="0" xfId="4">
      <alignment horizontal="center"/>
      <protection locked="1" hidden="1"/>
    </xf>
    <xf numFmtId="0" fontId="11" fillId="4" borderId="78" applyAlignment="1" applyProtection="1" pivotButton="0" quotePrefix="0" xfId="0">
      <alignment horizontal="left" vertical="center"/>
      <protection locked="1" hidden="1"/>
    </xf>
    <xf numFmtId="9" fontId="7" fillId="0" borderId="15" applyAlignment="1" applyProtection="1" pivotButton="0" quotePrefix="0" xfId="3">
      <alignment horizontal="center" vertical="center"/>
      <protection locked="0" hidden="1"/>
    </xf>
    <xf numFmtId="9" fontId="7" fillId="4" borderId="6" applyAlignment="1" applyProtection="1" pivotButton="0" quotePrefix="0" xfId="3">
      <alignment horizontal="center" vertical="center"/>
      <protection locked="1" hidden="1"/>
    </xf>
    <xf numFmtId="9" fontId="7" fillId="4" borderId="6" applyAlignment="1" applyProtection="1" pivotButton="0" quotePrefix="0" xfId="3">
      <alignment horizontal="center" vertical="center"/>
      <protection locked="0" hidden="1"/>
    </xf>
    <xf numFmtId="9" fontId="7" fillId="4" borderId="22" applyAlignment="1" applyProtection="1" pivotButton="0" quotePrefix="0" xfId="3">
      <alignment horizontal="center" vertical="center"/>
      <protection locked="0" hidden="1"/>
    </xf>
    <xf numFmtId="0" fontId="7" fillId="4" borderId="52" applyAlignment="1" applyProtection="1" pivotButton="0" quotePrefix="0" xfId="0">
      <alignment horizontal="center" vertical="center"/>
      <protection locked="1" hidden="1"/>
    </xf>
    <xf numFmtId="0" fontId="7" fillId="4" borderId="53" applyAlignment="1" applyProtection="1" pivotButton="0" quotePrefix="0" xfId="0">
      <alignment horizontal="center" vertical="center"/>
      <protection locked="1" hidden="1"/>
    </xf>
    <xf numFmtId="0" fontId="7" fillId="4" borderId="54" applyAlignment="1" applyProtection="1" pivotButton="0" quotePrefix="0" xfId="0">
      <alignment horizontal="center" vertical="center"/>
      <protection locked="1" hidden="1"/>
    </xf>
    <xf numFmtId="0" fontId="21" fillId="4" borderId="15" applyAlignment="1" applyProtection="1" pivotButton="0" quotePrefix="0" xfId="0">
      <alignment horizontal="center"/>
      <protection locked="1" hidden="1"/>
    </xf>
    <xf numFmtId="0" fontId="7" fillId="4" borderId="63" applyAlignment="1" applyProtection="1" pivotButton="0" quotePrefix="0" xfId="0">
      <alignment horizontal="left" vertical="center"/>
      <protection locked="1" hidden="1"/>
    </xf>
    <xf numFmtId="0" fontId="7" fillId="4" borderId="64" applyAlignment="1" applyProtection="1" pivotButton="0" quotePrefix="0" xfId="0">
      <alignment horizontal="left" vertical="center"/>
      <protection locked="1" hidden="1"/>
    </xf>
    <xf numFmtId="9" fontId="7" fillId="4" borderId="15" applyAlignment="1" applyProtection="1" pivotButton="0" quotePrefix="0" xfId="3">
      <alignment horizontal="center" vertical="center"/>
      <protection locked="0" hidden="1"/>
    </xf>
    <xf numFmtId="9" fontId="7" fillId="4" borderId="20" applyAlignment="1" applyProtection="1" pivotButton="0" quotePrefix="0" xfId="3">
      <alignment horizontal="center" vertical="center"/>
      <protection locked="0" hidden="1"/>
    </xf>
    <xf numFmtId="0" fontId="7" fillId="0" borderId="27" applyAlignment="1" applyProtection="1" pivotButton="0" quotePrefix="0" xfId="0">
      <alignment horizontal="center" vertical="center"/>
      <protection locked="1" hidden="1"/>
    </xf>
    <xf numFmtId="0" fontId="13" fillId="3" borderId="6" applyAlignment="1" applyProtection="1" pivotButton="0" quotePrefix="0" xfId="0">
      <alignment horizontal="left" vertical="center"/>
      <protection locked="1" hidden="1"/>
    </xf>
    <xf numFmtId="0" fontId="13" fillId="3" borderId="6" applyAlignment="1" applyProtection="1" pivotButton="0" quotePrefix="0" xfId="0">
      <alignment horizontal="left" vertical="center" wrapText="1"/>
      <protection locked="1" hidden="1"/>
    </xf>
    <xf numFmtId="0" fontId="7" fillId="0" borderId="22" applyAlignment="1" applyProtection="1" pivotButton="0" quotePrefix="0" xfId="0">
      <alignment horizontal="left"/>
      <protection locked="0" hidden="1"/>
    </xf>
    <xf numFmtId="0" fontId="23" fillId="0" borderId="68" applyAlignment="1" applyProtection="1" pivotButton="0" quotePrefix="0" xfId="0">
      <alignment horizontal="center" vertical="center"/>
      <protection locked="1" hidden="1"/>
    </xf>
    <xf numFmtId="0" fontId="23" fillId="0" borderId="0" applyAlignment="1" applyProtection="1" pivotButton="0" quotePrefix="0" xfId="0">
      <alignment horizontal="center" vertical="center"/>
      <protection locked="1" hidden="1"/>
    </xf>
    <xf numFmtId="0" fontId="23" fillId="0" borderId="69" applyAlignment="1" applyProtection="1" pivotButton="0" quotePrefix="0" xfId="0">
      <alignment horizontal="center" vertical="center"/>
      <protection locked="1" hidden="1"/>
    </xf>
    <xf numFmtId="0" fontId="13" fillId="3" borderId="33" applyAlignment="1" applyProtection="1" pivotButton="0" quotePrefix="0" xfId="0">
      <alignment horizontal="left" vertical="center" wrapText="1"/>
      <protection locked="1" hidden="1"/>
    </xf>
    <xf numFmtId="0" fontId="21" fillId="4" borderId="6" applyAlignment="1" applyProtection="1" pivotButton="0" quotePrefix="0" xfId="0">
      <alignment horizontal="left" vertical="center" wrapText="1"/>
      <protection locked="1" hidden="1"/>
    </xf>
    <xf numFmtId="0" fontId="28" fillId="4" borderId="102" applyAlignment="1" applyProtection="1" pivotButton="0" quotePrefix="0" xfId="0">
      <alignment horizontal="left" vertical="center"/>
      <protection locked="1" hidden="1"/>
    </xf>
    <xf numFmtId="0" fontId="28" fillId="4" borderId="103" applyAlignment="1" applyProtection="1" pivotButton="0" quotePrefix="0" xfId="0">
      <alignment horizontal="left" vertical="center"/>
      <protection locked="1" hidden="1"/>
    </xf>
    <xf numFmtId="2" fontId="7" fillId="0" borderId="113" applyAlignment="1" applyProtection="1" pivotButton="0" quotePrefix="0" xfId="0">
      <alignment horizontal="center"/>
      <protection locked="1" hidden="1"/>
    </xf>
    <xf numFmtId="2" fontId="7" fillId="0" borderId="115" applyAlignment="1" applyProtection="1" pivotButton="0" quotePrefix="0" xfId="0">
      <alignment horizontal="center"/>
      <protection locked="1" hidden="1"/>
    </xf>
    <xf numFmtId="2" fontId="7" fillId="0" borderId="114" applyAlignment="1" applyProtection="1" pivotButton="0" quotePrefix="0" xfId="0">
      <alignment horizontal="center"/>
      <protection locked="1" hidden="1"/>
    </xf>
    <xf numFmtId="0" fontId="10" fillId="3" borderId="6" applyAlignment="1" applyProtection="1" pivotButton="0" quotePrefix="0" xfId="0">
      <alignment horizontal="center" vertical="center"/>
      <protection locked="1" hidden="1"/>
    </xf>
    <xf numFmtId="0" fontId="42" fillId="4" borderId="100" applyAlignment="1" applyProtection="1" pivotButton="0" quotePrefix="0" xfId="0">
      <alignment horizontal="left" vertical="center"/>
      <protection locked="1" hidden="1"/>
    </xf>
    <xf numFmtId="0" fontId="42" fillId="4" borderId="6" applyAlignment="1" applyProtection="1" pivotButton="0" quotePrefix="0" xfId="0">
      <alignment horizontal="left" vertical="center"/>
      <protection locked="1" hidden="1"/>
    </xf>
    <xf numFmtId="2" fontId="7" fillId="0" borderId="76" applyAlignment="1" applyProtection="1" pivotButton="0" quotePrefix="0" xfId="0">
      <alignment horizontal="center"/>
      <protection locked="1" hidden="1"/>
    </xf>
    <xf numFmtId="2" fontId="7" fillId="0" borderId="33" applyAlignment="1" applyProtection="1" pivotButton="0" quotePrefix="0" xfId="0">
      <alignment horizontal="center"/>
      <protection locked="1" hidden="1"/>
    </xf>
    <xf numFmtId="2" fontId="7" fillId="0" borderId="109" applyAlignment="1" applyProtection="1" pivotButton="0" quotePrefix="0" xfId="0">
      <alignment horizontal="center"/>
      <protection locked="1" hidden="1"/>
    </xf>
    <xf numFmtId="0" fontId="14" fillId="3" borderId="100" applyAlignment="1" applyProtection="1" pivotButton="0" quotePrefix="0" xfId="0">
      <alignment horizontal="left" vertical="center"/>
      <protection locked="1" hidden="1"/>
    </xf>
    <xf numFmtId="0" fontId="14" fillId="3" borderId="6" applyAlignment="1" applyProtection="1" pivotButton="0" quotePrefix="0" xfId="0">
      <alignment horizontal="left" vertical="center"/>
      <protection locked="1" hidden="1"/>
    </xf>
    <xf numFmtId="2" fontId="7" fillId="0" borderId="76" applyAlignment="1" applyProtection="1" pivotButton="0" quotePrefix="0" xfId="0">
      <alignment horizontal="center"/>
      <protection locked="0" hidden="1"/>
    </xf>
    <xf numFmtId="2" fontId="7" fillId="0" borderId="33" applyAlignment="1" applyProtection="1" pivotButton="0" quotePrefix="0" xfId="0">
      <alignment horizontal="center"/>
      <protection locked="0" hidden="1"/>
    </xf>
    <xf numFmtId="2" fontId="7" fillId="0" borderId="109" applyAlignment="1" applyProtection="1" pivotButton="0" quotePrefix="0" xfId="0">
      <alignment horizontal="center"/>
      <protection locked="0" hidden="1"/>
    </xf>
    <xf numFmtId="0" fontId="21" fillId="4" borderId="33" applyAlignment="1" applyProtection="1" pivotButton="0" quotePrefix="0" xfId="0">
      <alignment horizontal="left" vertical="center" wrapText="1"/>
      <protection locked="1" hidden="1"/>
    </xf>
    <xf numFmtId="0" fontId="11" fillId="4" borderId="33" applyAlignment="1" applyProtection="1" pivotButton="0" quotePrefix="0" xfId="0">
      <alignment horizontal="left" vertical="center"/>
      <protection locked="1" hidden="1"/>
    </xf>
    <xf numFmtId="0" fontId="41" fillId="0" borderId="76" applyAlignment="1" applyProtection="1" pivotButton="0" quotePrefix="0" xfId="0">
      <alignment horizontal="center" vertical="center"/>
      <protection locked="1" hidden="1"/>
    </xf>
    <xf numFmtId="0" fontId="41" fillId="0" borderId="59" applyAlignment="1" applyProtection="1" pivotButton="0" quotePrefix="0" xfId="0">
      <alignment horizontal="center" vertical="center"/>
      <protection locked="1" hidden="1"/>
    </xf>
    <xf numFmtId="0" fontId="41" fillId="0" borderId="33" applyAlignment="1" applyProtection="1" pivotButton="0" quotePrefix="0" xfId="0">
      <alignment horizontal="center" vertical="center"/>
      <protection locked="1" hidden="1"/>
    </xf>
    <xf numFmtId="0" fontId="10" fillId="3" borderId="65" applyAlignment="1" applyProtection="1" pivotButton="0" quotePrefix="0" xfId="0">
      <alignment horizontal="center" vertical="center"/>
      <protection locked="1" hidden="1"/>
    </xf>
    <xf numFmtId="0" fontId="10" fillId="3" borderId="66" applyAlignment="1" applyProtection="1" pivotButton="0" quotePrefix="0" xfId="0">
      <alignment horizontal="center" vertical="center"/>
      <protection locked="1" hidden="1"/>
    </xf>
    <xf numFmtId="0" fontId="10" fillId="3" borderId="67" applyAlignment="1" applyProtection="1" pivotButton="0" quotePrefix="0" xfId="0">
      <alignment horizontal="center" vertical="center"/>
      <protection locked="1" hidden="1"/>
    </xf>
    <xf numFmtId="0" fontId="27" fillId="4" borderId="105" applyAlignment="1" applyProtection="1" pivotButton="0" quotePrefix="0" xfId="0">
      <alignment horizontal="center" vertical="center" wrapText="1"/>
      <protection locked="1" hidden="1"/>
    </xf>
    <xf numFmtId="0" fontId="27" fillId="4" borderId="13" applyAlignment="1" applyProtection="1" pivotButton="0" quotePrefix="0" xfId="0">
      <alignment horizontal="center" vertical="center" wrapText="1"/>
      <protection locked="1" hidden="1"/>
    </xf>
    <xf numFmtId="0" fontId="27" fillId="4" borderId="106" applyAlignment="1" applyProtection="1" pivotButton="0" quotePrefix="0" xfId="0">
      <alignment horizontal="center" vertical="center" wrapText="1"/>
      <protection locked="1" hidden="1"/>
    </xf>
    <xf numFmtId="0" fontId="7" fillId="0" borderId="0" applyAlignment="1" applyProtection="1" pivotButton="0" quotePrefix="0" xfId="0">
      <alignment horizontal="center"/>
      <protection locked="0" hidden="1"/>
    </xf>
    <xf numFmtId="0" fontId="28" fillId="4" borderId="110" applyAlignment="1" applyProtection="1" pivotButton="0" quotePrefix="0" xfId="0">
      <alignment horizontal="center" vertical="center"/>
      <protection locked="1" hidden="1"/>
    </xf>
    <xf numFmtId="0" fontId="28" fillId="4" borderId="111" applyAlignment="1" applyProtection="1" pivotButton="0" quotePrefix="0" xfId="0">
      <alignment horizontal="center" vertical="center"/>
      <protection locked="1" hidden="1"/>
    </xf>
    <xf numFmtId="0" fontId="28" fillId="4" borderId="112" applyAlignment="1" applyProtection="1" pivotButton="0" quotePrefix="0" xfId="0">
      <alignment horizontal="center" vertical="center"/>
      <protection locked="1" hidden="1"/>
    </xf>
    <xf numFmtId="0" fontId="28" fillId="4" borderId="98" applyAlignment="1" applyProtection="1" pivotButton="0" quotePrefix="0" xfId="0">
      <alignment horizontal="left" vertical="center"/>
      <protection locked="1" hidden="1"/>
    </xf>
    <xf numFmtId="0" fontId="28" fillId="4" borderId="15" applyAlignment="1" applyProtection="1" pivotButton="0" quotePrefix="0" xfId="0">
      <alignment horizontal="left" vertical="center"/>
      <protection locked="1" hidden="1"/>
    </xf>
    <xf numFmtId="0" fontId="21" fillId="0" borderId="15" applyAlignment="1" applyProtection="1" pivotButton="0" quotePrefix="0" xfId="0">
      <alignment horizontal="center"/>
      <protection locked="0" hidden="1"/>
    </xf>
    <xf numFmtId="0" fontId="21" fillId="0" borderId="99" applyAlignment="1" applyProtection="1" pivotButton="0" quotePrefix="0" xfId="0">
      <alignment horizontal="center"/>
      <protection locked="0" hidden="1"/>
    </xf>
    <xf numFmtId="0" fontId="10" fillId="3" borderId="101" applyAlignment="1" applyProtection="1" pivotButton="0" quotePrefix="0" xfId="0">
      <alignment horizontal="center" vertical="center"/>
      <protection locked="1" hidden="1"/>
    </xf>
    <xf numFmtId="0" fontId="28" fillId="0" borderId="6" applyAlignment="1" applyProtection="1" pivotButton="0" quotePrefix="0" xfId="0">
      <alignment horizontal="center" vertical="center"/>
      <protection locked="0" hidden="1"/>
    </xf>
    <xf numFmtId="0" fontId="28" fillId="0" borderId="101" applyAlignment="1" applyProtection="1" pivotButton="0" quotePrefix="0" xfId="0">
      <alignment horizontal="center" vertical="center"/>
      <protection locked="0" hidden="1"/>
    </xf>
    <xf numFmtId="0" fontId="21" fillId="4" borderId="6" applyAlignment="1" applyProtection="1" pivotButton="0" quotePrefix="0" xfId="0">
      <alignment horizontal="left" vertical="center" wrapText="1"/>
      <protection locked="0" hidden="1"/>
    </xf>
    <xf numFmtId="0" fontId="18" fillId="0" borderId="38" applyAlignment="1" applyProtection="1" pivotButton="0" quotePrefix="0" xfId="0">
      <alignment horizontal="center"/>
      <protection locked="1" hidden="1"/>
    </xf>
    <xf numFmtId="0" fontId="18" fillId="0" borderId="0" applyAlignment="1" applyProtection="1" pivotButton="0" quotePrefix="0" xfId="0">
      <alignment horizontal="center"/>
      <protection locked="1" hidden="1"/>
    </xf>
    <xf numFmtId="0" fontId="18" fillId="0" borderId="11" applyAlignment="1" applyProtection="1" pivotButton="0" quotePrefix="0" xfId="0">
      <alignment horizontal="center"/>
      <protection locked="1" hidden="1"/>
    </xf>
    <xf numFmtId="0" fontId="18" fillId="0" borderId="39" applyAlignment="1" applyProtection="1" pivotButton="0" quotePrefix="0" xfId="0">
      <alignment horizontal="center"/>
      <protection locked="1" hidden="1"/>
    </xf>
    <xf numFmtId="0" fontId="18" fillId="0" borderId="13" applyAlignment="1" applyProtection="1" pivotButton="0" quotePrefix="0" xfId="0">
      <alignment horizontal="center"/>
      <protection locked="1" hidden="1"/>
    </xf>
    <xf numFmtId="0" fontId="18" fillId="0" borderId="14" applyAlignment="1" applyProtection="1" pivotButton="0" quotePrefix="0" xfId="0">
      <alignment horizontal="center"/>
      <protection locked="1" hidden="1"/>
    </xf>
    <xf numFmtId="0" fontId="39" fillId="0" borderId="24" applyAlignment="1" applyProtection="1" pivotButton="0" quotePrefix="0" xfId="0">
      <alignment horizontal="center" vertical="center"/>
      <protection locked="0" hidden="1"/>
    </xf>
    <xf numFmtId="0" fontId="7" fillId="4" borderId="33" applyAlignment="1" applyProtection="1" pivotButton="0" quotePrefix="0" xfId="0">
      <alignment horizontal="center"/>
      <protection locked="1" hidden="1"/>
    </xf>
    <xf numFmtId="0" fontId="7" fillId="4" borderId="6" applyAlignment="1" applyProtection="1" pivotButton="0" quotePrefix="0" xfId="0">
      <alignment horizontal="center"/>
      <protection locked="1" hidden="1"/>
    </xf>
    <xf numFmtId="0" fontId="7" fillId="4" borderId="22" applyAlignment="1" applyProtection="1" pivotButton="0" quotePrefix="0" xfId="0">
      <alignment horizontal="center"/>
      <protection locked="1" hidden="1"/>
    </xf>
    <xf numFmtId="0" fontId="7" fillId="4" borderId="24" applyAlignment="1" applyProtection="1" pivotButton="0" quotePrefix="0" xfId="0">
      <alignment horizontal="center"/>
      <protection locked="1" hidden="1"/>
    </xf>
    <xf numFmtId="0" fontId="7" fillId="4" borderId="25" applyAlignment="1" applyProtection="1" pivotButton="0" quotePrefix="0" xfId="0">
      <alignment horizontal="center"/>
      <protection locked="1" hidden="1"/>
    </xf>
    <xf numFmtId="0" fontId="24" fillId="4" borderId="16" applyAlignment="1" applyProtection="1" pivotButton="0" quotePrefix="0" xfId="0">
      <alignment horizontal="center" vertical="center"/>
      <protection locked="1" hidden="1"/>
    </xf>
    <xf numFmtId="0" fontId="24" fillId="4" borderId="17" applyAlignment="1" applyProtection="1" pivotButton="0" quotePrefix="0" xfId="0">
      <alignment horizontal="center" vertical="center"/>
      <protection locked="1" hidden="1"/>
    </xf>
    <xf numFmtId="0" fontId="24" fillId="4" borderId="18" applyAlignment="1" applyProtection="1" pivotButton="0" quotePrefix="0" xfId="0">
      <alignment horizontal="center" vertical="center"/>
      <protection locked="1" hidden="1"/>
    </xf>
    <xf numFmtId="0" fontId="39" fillId="0" borderId="15" applyAlignment="1" applyProtection="1" pivotButton="0" quotePrefix="0" xfId="0">
      <alignment horizontal="center" vertical="center"/>
      <protection locked="0" hidden="1"/>
    </xf>
    <xf numFmtId="0" fontId="7" fillId="0" borderId="21" applyAlignment="1" applyProtection="1" pivotButton="0" quotePrefix="0" xfId="0">
      <alignment horizontal="center" vertical="center"/>
      <protection locked="1" hidden="1"/>
    </xf>
    <xf numFmtId="0" fontId="7" fillId="0" borderId="6" applyAlignment="1" applyProtection="1" pivotButton="0" quotePrefix="0" xfId="0">
      <alignment horizontal="center" vertical="center"/>
      <protection locked="1" hidden="1"/>
    </xf>
    <xf numFmtId="0" fontId="7" fillId="0" borderId="22" applyAlignment="1" applyProtection="1" pivotButton="0" quotePrefix="0" xfId="0">
      <alignment horizontal="center" vertical="center"/>
      <protection locked="1" hidden="1"/>
    </xf>
    <xf numFmtId="0" fontId="21" fillId="4" borderId="15" applyAlignment="1" applyProtection="1" pivotButton="0" quotePrefix="0" xfId="0">
      <alignment horizontal="center" vertical="center" wrapText="1"/>
      <protection locked="1" hidden="1"/>
    </xf>
    <xf numFmtId="0" fontId="10" fillId="0" borderId="35" applyAlignment="1" applyProtection="1" pivotButton="0" quotePrefix="0" xfId="0">
      <alignment horizontal="center"/>
      <protection locked="0" hidden="1"/>
    </xf>
    <xf numFmtId="0" fontId="10" fillId="0" borderId="36" applyAlignment="1" applyProtection="1" pivotButton="0" quotePrefix="0" xfId="0">
      <alignment horizontal="center"/>
      <protection locked="0" hidden="1"/>
    </xf>
    <xf numFmtId="0" fontId="10" fillId="0" borderId="37" applyAlignment="1" applyProtection="1" pivotButton="0" quotePrefix="0" xfId="0">
      <alignment horizontal="center"/>
      <protection locked="0" hidden="1"/>
    </xf>
    <xf numFmtId="0" fontId="10" fillId="0" borderId="52" applyAlignment="1" applyProtection="1" pivotButton="0" quotePrefix="0" xfId="0">
      <alignment horizontal="center"/>
      <protection locked="0" hidden="1"/>
    </xf>
    <xf numFmtId="0" fontId="10" fillId="0" borderId="53" applyAlignment="1" applyProtection="1" pivotButton="0" quotePrefix="0" xfId="0">
      <alignment horizontal="center"/>
      <protection locked="0" hidden="1"/>
    </xf>
    <xf numFmtId="0" fontId="10" fillId="0" borderId="54" applyAlignment="1" applyProtection="1" pivotButton="0" quotePrefix="0" xfId="0">
      <alignment horizontal="center"/>
      <protection locked="0" hidden="1"/>
    </xf>
    <xf numFmtId="9" fontId="7" fillId="4" borderId="24" applyAlignment="1" applyProtection="1" pivotButton="0" quotePrefix="0" xfId="3">
      <alignment horizontal="center" vertical="center"/>
      <protection locked="0" hidden="1"/>
    </xf>
    <xf numFmtId="9" fontId="7" fillId="4" borderId="25" applyAlignment="1" applyProtection="1" pivotButton="0" quotePrefix="0" xfId="3">
      <alignment horizontal="center" vertical="center"/>
      <protection locked="0" hidden="1"/>
    </xf>
    <xf numFmtId="1" fontId="39" fillId="4" borderId="76" applyAlignment="1" applyProtection="1" pivotButton="0" quotePrefix="0" xfId="0">
      <alignment horizontal="center" vertical="center"/>
      <protection locked="1" hidden="1"/>
    </xf>
    <xf numFmtId="1" fontId="39" fillId="4" borderId="59" applyAlignment="1" applyProtection="1" pivotButton="0" quotePrefix="0" xfId="0">
      <alignment horizontal="center" vertical="center"/>
      <protection locked="1" hidden="1"/>
    </xf>
    <xf numFmtId="1" fontId="39" fillId="4" borderId="33" applyAlignment="1" applyProtection="1" pivotButton="0" quotePrefix="0" xfId="0">
      <alignment horizontal="center" vertical="center"/>
      <protection locked="1" hidden="1"/>
    </xf>
    <xf numFmtId="0" fontId="38" fillId="0" borderId="24" applyAlignment="1" applyProtection="1" pivotButton="0" quotePrefix="0" xfId="0">
      <alignment horizontal="center" vertical="center"/>
      <protection locked="0" hidden="1"/>
    </xf>
    <xf numFmtId="0" fontId="38" fillId="0" borderId="25" applyAlignment="1" applyProtection="1" pivotButton="0" quotePrefix="0" xfId="0">
      <alignment horizontal="center"/>
      <protection locked="0" hidden="1"/>
    </xf>
    <xf numFmtId="0" fontId="38" fillId="0" borderId="25" applyAlignment="1" applyProtection="1" pivotButton="0" quotePrefix="0" xfId="0">
      <alignment horizontal="center" vertical="center"/>
      <protection locked="0" hidden="1"/>
    </xf>
    <xf numFmtId="0" fontId="21" fillId="4" borderId="29" applyAlignment="1" applyProtection="1" pivotButton="0" quotePrefix="0" xfId="0">
      <alignment horizontal="center" vertical="center" wrapText="1"/>
      <protection locked="1" hidden="1"/>
    </xf>
    <xf numFmtId="0" fontId="21" fillId="4" borderId="20" applyAlignment="1" applyProtection="1" pivotButton="0" quotePrefix="0" xfId="0">
      <alignment horizontal="center" vertical="center"/>
      <protection locked="1" hidden="1"/>
    </xf>
    <xf numFmtId="0" fontId="23" fillId="4" borderId="16" applyAlignment="1" applyProtection="1" pivotButton="0" quotePrefix="0" xfId="0">
      <alignment horizontal="center" vertical="center"/>
      <protection locked="1" hidden="1"/>
    </xf>
    <xf numFmtId="0" fontId="23" fillId="4" borderId="17" applyAlignment="1" applyProtection="1" pivotButton="0" quotePrefix="0" xfId="0">
      <alignment horizontal="center" vertical="center"/>
      <protection locked="1" hidden="1"/>
    </xf>
    <xf numFmtId="0" fontId="23" fillId="4" borderId="18" applyAlignment="1" applyProtection="1" pivotButton="0" quotePrefix="0" xfId="0">
      <alignment horizontal="center" vertical="center"/>
      <protection locked="1" hidden="1"/>
    </xf>
    <xf numFmtId="9" fontId="38" fillId="0" borderId="6" applyAlignment="1" applyProtection="1" pivotButton="0" quotePrefix="0" xfId="3">
      <alignment horizontal="center"/>
      <protection locked="0" hidden="1"/>
    </xf>
    <xf numFmtId="0" fontId="7" fillId="0" borderId="15" applyAlignment="1" applyProtection="1" pivotButton="0" quotePrefix="0" xfId="0">
      <alignment horizontal="left" vertical="center"/>
      <protection locked="0" hidden="1"/>
    </xf>
    <xf numFmtId="14" fontId="25" fillId="0" borderId="24" applyAlignment="1" applyProtection="1" pivotButton="0" quotePrefix="0" xfId="0">
      <alignment horizontal="center" vertical="center"/>
      <protection locked="0" hidden="1"/>
    </xf>
    <xf numFmtId="0" fontId="37" fillId="0" borderId="15" applyAlignment="1" applyProtection="1" pivotButton="0" quotePrefix="0" xfId="0">
      <alignment horizontal="left" vertical="center"/>
      <protection locked="0" hidden="1"/>
    </xf>
    <xf numFmtId="0" fontId="37" fillId="0" borderId="20" applyAlignment="1" applyProtection="1" pivotButton="0" quotePrefix="0" xfId="0">
      <alignment horizontal="left" vertical="center"/>
      <protection locked="0" hidden="1"/>
    </xf>
    <xf numFmtId="0" fontId="37" fillId="0" borderId="74" applyAlignment="1" applyProtection="1" pivotButton="0" quotePrefix="0" xfId="0">
      <alignment horizontal="left" vertical="center"/>
      <protection locked="0" hidden="1"/>
    </xf>
    <xf numFmtId="49" fontId="37" fillId="0" borderId="76" applyAlignment="1" applyProtection="1" pivotButton="0" quotePrefix="0" xfId="0">
      <alignment horizontal="center" vertical="center"/>
      <protection locked="0" hidden="1"/>
    </xf>
    <xf numFmtId="49" fontId="37" fillId="0" borderId="59" applyAlignment="1" applyProtection="1" pivotButton="0" quotePrefix="0" xfId="0">
      <alignment horizontal="center" vertical="center"/>
      <protection locked="0" hidden="1"/>
    </xf>
    <xf numFmtId="49" fontId="37" fillId="0" borderId="77" applyAlignment="1" applyProtection="1" pivotButton="0" quotePrefix="0" xfId="0">
      <alignment horizontal="center" vertical="center"/>
      <protection locked="0" hidden="1"/>
    </xf>
    <xf numFmtId="0" fontId="7" fillId="0" borderId="6" applyAlignment="1" applyProtection="1" pivotButton="0" quotePrefix="0" xfId="3">
      <alignment horizontal="center"/>
      <protection locked="0" hidden="1"/>
    </xf>
    <xf numFmtId="0" fontId="23" fillId="4" borderId="7" applyAlignment="1" applyProtection="1" pivotButton="0" quotePrefix="0" xfId="0">
      <alignment horizontal="center" vertical="center"/>
      <protection locked="1" hidden="1"/>
    </xf>
    <xf numFmtId="0" fontId="23" fillId="4" borderId="8" applyAlignment="1" applyProtection="1" pivotButton="0" quotePrefix="0" xfId="0">
      <alignment horizontal="center" vertical="center"/>
      <protection locked="1" hidden="1"/>
    </xf>
    <xf numFmtId="0" fontId="23" fillId="4" borderId="9" applyAlignment="1" applyProtection="1" pivotButton="0" quotePrefix="0" xfId="0">
      <alignment horizontal="center" vertical="center"/>
      <protection locked="1" hidden="1"/>
    </xf>
    <xf numFmtId="0" fontId="38" fillId="0" borderId="24" applyAlignment="1" applyProtection="1" pivotButton="0" quotePrefix="0" xfId="0">
      <alignment horizontal="left" vertical="center"/>
      <protection locked="0" hidden="1"/>
    </xf>
    <xf numFmtId="0" fontId="38" fillId="0" borderId="6" applyAlignment="1" applyProtection="1" pivotButton="0" quotePrefix="0" xfId="0">
      <alignment horizontal="left" vertical="center"/>
      <protection locked="0" hidden="1"/>
    </xf>
    <xf numFmtId="0" fontId="10" fillId="0" borderId="15" applyAlignment="1" applyProtection="1" pivotButton="0" quotePrefix="0" xfId="0">
      <alignment horizontal="center"/>
      <protection locked="1" hidden="1"/>
    </xf>
    <xf numFmtId="0" fontId="10" fillId="0" borderId="20" applyAlignment="1" applyProtection="1" pivotButton="0" quotePrefix="0" xfId="0">
      <alignment horizontal="center"/>
      <protection locked="1" hidden="1"/>
    </xf>
    <xf numFmtId="0" fontId="10" fillId="0" borderId="6" applyAlignment="1" applyProtection="1" pivotButton="0" quotePrefix="0" xfId="0">
      <alignment horizontal="center"/>
      <protection locked="1" hidden="1"/>
    </xf>
    <xf numFmtId="0" fontId="10" fillId="0" borderId="22" applyAlignment="1" applyProtection="1" pivotButton="0" quotePrefix="0" xfId="0">
      <alignment horizontal="center"/>
      <protection locked="1" hidden="1"/>
    </xf>
    <xf numFmtId="0" fontId="10" fillId="0" borderId="24" applyAlignment="1" applyProtection="1" pivotButton="0" quotePrefix="0" xfId="0">
      <alignment horizontal="center"/>
      <protection locked="1" hidden="1"/>
    </xf>
    <xf numFmtId="0" fontId="10" fillId="0" borderId="25" applyAlignment="1" applyProtection="1" pivotButton="0" quotePrefix="0" xfId="0">
      <alignment horizontal="center"/>
      <protection locked="1" hidden="1"/>
    </xf>
    <xf numFmtId="0" fontId="7" fillId="0" borderId="4" applyAlignment="1" applyProtection="1" pivotButton="0" quotePrefix="0" xfId="0">
      <alignment horizontal="left" vertical="top"/>
      <protection locked="0" hidden="1"/>
    </xf>
    <xf numFmtId="0" fontId="7" fillId="0" borderId="48" applyAlignment="1" applyProtection="1" pivotButton="0" quotePrefix="0" xfId="0">
      <alignment horizontal="left" vertical="top"/>
      <protection locked="0" hidden="1"/>
    </xf>
    <xf numFmtId="9" fontId="38" fillId="0" borderId="22" applyAlignment="1" applyProtection="1" pivotButton="0" quotePrefix="0" xfId="3">
      <alignment horizontal="center"/>
      <protection locked="0" hidden="1"/>
    </xf>
    <xf numFmtId="0" fontId="25" fillId="4" borderId="12" applyAlignment="1" applyProtection="1" pivotButton="0" quotePrefix="0" xfId="0">
      <alignment horizontal="center" vertical="center" wrapText="1"/>
      <protection locked="1" hidden="1"/>
    </xf>
    <xf numFmtId="0" fontId="25" fillId="4" borderId="13" applyAlignment="1" applyProtection="1" pivotButton="0" quotePrefix="0" xfId="0">
      <alignment horizontal="center" vertical="center" wrapText="1"/>
      <protection locked="1" hidden="1"/>
    </xf>
    <xf numFmtId="0" fontId="25" fillId="4" borderId="14" applyAlignment="1" applyProtection="1" pivotButton="0" quotePrefix="0" xfId="0">
      <alignment horizontal="center" vertical="center" wrapText="1"/>
      <protection locked="1" hidden="1"/>
    </xf>
    <xf numFmtId="0" fontId="23" fillId="4" borderId="7" applyAlignment="1" applyProtection="1" pivotButton="0" quotePrefix="0" xfId="0">
      <alignment horizontal="center" vertical="center" wrapText="1"/>
      <protection locked="1" hidden="1"/>
    </xf>
    <xf numFmtId="0" fontId="23" fillId="4" borderId="8" applyAlignment="1" applyProtection="1" pivotButton="0" quotePrefix="0" xfId="0">
      <alignment horizontal="center" vertical="center" wrapText="1"/>
      <protection locked="1" hidden="1"/>
    </xf>
    <xf numFmtId="0" fontId="23" fillId="4" borderId="9" applyAlignment="1" applyProtection="1" pivotButton="0" quotePrefix="0" xfId="0">
      <alignment horizontal="center" vertical="center" wrapText="1"/>
      <protection locked="1" hidden="1"/>
    </xf>
    <xf numFmtId="0" fontId="7" fillId="0" borderId="3" applyAlignment="1" applyProtection="1" pivotButton="0" quotePrefix="0" xfId="0">
      <alignment horizontal="center"/>
      <protection locked="0" hidden="1"/>
    </xf>
    <xf numFmtId="0" fontId="28" fillId="4" borderId="15" applyAlignment="1" applyProtection="1" pivotButton="0" quotePrefix="0" xfId="0">
      <alignment horizontal="center" vertical="center"/>
      <protection locked="0" hidden="1"/>
    </xf>
    <xf numFmtId="0" fontId="28" fillId="4" borderId="20" applyAlignment="1" applyProtection="1" pivotButton="0" quotePrefix="0" xfId="0">
      <alignment horizontal="center" vertical="center"/>
      <protection locked="0" hidden="1"/>
    </xf>
    <xf numFmtId="0" fontId="38" fillId="0" borderId="22" applyAlignment="1" applyProtection="1" pivotButton="0" quotePrefix="0" xfId="0">
      <alignment horizontal="left" vertical="center"/>
      <protection locked="0" hidden="1"/>
    </xf>
    <xf numFmtId="0" fontId="38" fillId="0" borderId="15" applyAlignment="1" applyProtection="1" pivotButton="0" quotePrefix="0" xfId="0">
      <alignment horizontal="left" vertical="center"/>
      <protection locked="0" hidden="1"/>
    </xf>
    <xf numFmtId="0" fontId="38" fillId="0" borderId="20" applyAlignment="1" applyProtection="1" pivotButton="0" quotePrefix="0" xfId="0">
      <alignment horizontal="left" vertical="center"/>
      <protection locked="0" hidden="1"/>
    </xf>
    <xf numFmtId="0" fontId="10" fillId="3" borderId="16" applyAlignment="1" applyProtection="1" pivotButton="0" quotePrefix="0" xfId="0">
      <alignment horizontal="center" vertical="center"/>
      <protection locked="1" hidden="1"/>
    </xf>
    <xf numFmtId="0" fontId="10" fillId="3" borderId="17" applyAlignment="1" applyProtection="1" pivotButton="0" quotePrefix="0" xfId="0">
      <alignment horizontal="center" vertical="center"/>
      <protection locked="1" hidden="1"/>
    </xf>
    <xf numFmtId="0" fontId="10" fillId="3" borderId="18" applyAlignment="1" applyProtection="1" pivotButton="0" quotePrefix="0" xfId="0">
      <alignment horizontal="center" vertical="center"/>
      <protection locked="1" hidden="1"/>
    </xf>
    <xf numFmtId="0" fontId="10" fillId="3" borderId="7" applyAlignment="1" applyProtection="1" pivotButton="0" quotePrefix="0" xfId="0">
      <alignment horizontal="center" vertical="center"/>
      <protection locked="1" hidden="1"/>
    </xf>
    <xf numFmtId="0" fontId="10" fillId="3" borderId="8" applyAlignment="1" applyProtection="1" pivotButton="0" quotePrefix="0" xfId="0">
      <alignment horizontal="center" vertical="center"/>
      <protection locked="1" hidden="1"/>
    </xf>
    <xf numFmtId="0" fontId="10" fillId="3" borderId="9" applyAlignment="1" applyProtection="1" pivotButton="0" quotePrefix="0" xfId="0">
      <alignment horizontal="center" vertical="center"/>
      <protection locked="1" hidden="1"/>
    </xf>
    <xf numFmtId="0" fontId="10" fillId="3" borderId="26" applyAlignment="1" applyProtection="1" pivotButton="0" quotePrefix="0" xfId="0">
      <alignment horizontal="center" vertical="center"/>
      <protection locked="1" hidden="1"/>
    </xf>
    <xf numFmtId="0" fontId="10" fillId="3" borderId="27" applyAlignment="1" applyProtection="1" pivotButton="0" quotePrefix="0" xfId="0">
      <alignment horizontal="center" vertical="center"/>
      <protection locked="1" hidden="1"/>
    </xf>
    <xf numFmtId="0" fontId="10" fillId="3" borderId="28" applyAlignment="1" applyProtection="1" pivotButton="0" quotePrefix="0" xfId="0">
      <alignment horizontal="center" vertical="center"/>
      <protection locked="1" hidden="1"/>
    </xf>
    <xf numFmtId="0" fontId="36" fillId="0" borderId="6" applyAlignment="1" applyProtection="1" pivotButton="0" quotePrefix="0" xfId="0">
      <alignment horizontal="center"/>
      <protection locked="0" hidden="1"/>
    </xf>
    <xf numFmtId="0" fontId="36" fillId="0" borderId="24" applyAlignment="1" applyProtection="1" pivotButton="0" quotePrefix="0" xfId="0">
      <alignment horizontal="left" vertical="top"/>
      <protection locked="0" hidden="1"/>
    </xf>
    <xf numFmtId="0" fontId="36" fillId="0" borderId="25" applyAlignment="1" applyProtection="1" pivotButton="0" quotePrefix="0" xfId="0">
      <alignment horizontal="left" vertical="top"/>
      <protection locked="0" hidden="1"/>
    </xf>
    <xf numFmtId="0" fontId="7" fillId="4" borderId="15" applyAlignment="1" applyProtection="1" pivotButton="0" quotePrefix="0" xfId="0">
      <alignment horizontal="left" vertical="center"/>
      <protection locked="1" hidden="1"/>
    </xf>
    <xf numFmtId="0" fontId="7" fillId="4" borderId="20" applyAlignment="1" applyProtection="1" pivotButton="0" quotePrefix="0" xfId="0">
      <alignment horizontal="left" vertical="center"/>
      <protection locked="1" hidden="1"/>
    </xf>
    <xf numFmtId="0" fontId="7" fillId="0" borderId="22" applyAlignment="1" applyProtection="1" pivotButton="0" quotePrefix="0" xfId="0">
      <alignment horizontal="left" vertical="center"/>
      <protection locked="0" hidden="1"/>
    </xf>
    <xf numFmtId="0" fontId="7" fillId="4" borderId="6" applyAlignment="1" applyProtection="1" pivotButton="0" quotePrefix="0" xfId="0">
      <alignment horizontal="left" vertical="center"/>
      <protection locked="1" hidden="1"/>
    </xf>
    <xf numFmtId="0" fontId="7" fillId="4" borderId="22" applyAlignment="1" applyProtection="1" pivotButton="0" quotePrefix="0" xfId="0">
      <alignment horizontal="left" vertical="center"/>
      <protection locked="1" hidden="1"/>
    </xf>
    <xf numFmtId="0" fontId="7" fillId="4" borderId="24" applyAlignment="1" applyProtection="1" pivotButton="0" quotePrefix="0" xfId="0">
      <alignment horizontal="left" vertical="center"/>
      <protection locked="1" hidden="1"/>
    </xf>
    <xf numFmtId="0" fontId="7" fillId="4" borderId="25" applyAlignment="1" applyProtection="1" pivotButton="0" quotePrefix="0" xfId="0">
      <alignment horizontal="left" vertical="center"/>
      <protection locked="1" hidden="1"/>
    </xf>
    <xf numFmtId="0" fontId="36" fillId="0" borderId="35" applyAlignment="1" applyProtection="1" pivotButton="0" quotePrefix="0" xfId="0">
      <alignment horizontal="left" vertical="center"/>
      <protection locked="0" hidden="1"/>
    </xf>
    <xf numFmtId="0" fontId="36" fillId="0" borderId="36" applyAlignment="1" applyProtection="1" pivotButton="0" quotePrefix="0" xfId="0">
      <alignment horizontal="left" vertical="center"/>
      <protection locked="0" hidden="1"/>
    </xf>
    <xf numFmtId="0" fontId="36" fillId="0" borderId="37" applyAlignment="1" applyProtection="1" pivotButton="0" quotePrefix="0" xfId="0">
      <alignment horizontal="left" vertical="center"/>
      <protection locked="0" hidden="1"/>
    </xf>
    <xf numFmtId="0" fontId="36" fillId="0" borderId="6" applyAlignment="1" applyProtection="1" pivotButton="0" quotePrefix="0" xfId="0">
      <alignment horizontal="left" vertical="center"/>
      <protection locked="0" hidden="1"/>
    </xf>
    <xf numFmtId="0" fontId="36" fillId="0" borderId="22" applyAlignment="1" applyProtection="1" pivotButton="0" quotePrefix="0" xfId="0">
      <alignment horizontal="left" vertical="center"/>
      <protection locked="0" hidden="1"/>
    </xf>
    <xf numFmtId="0" fontId="11" fillId="2" borderId="26" applyAlignment="1" applyProtection="1" pivotButton="0" quotePrefix="0" xfId="0">
      <alignment horizontal="center" vertical="center"/>
      <protection locked="1" hidden="1"/>
    </xf>
    <xf numFmtId="0" fontId="11" fillId="2" borderId="27" applyAlignment="1" applyProtection="1" pivotButton="0" quotePrefix="0" xfId="0">
      <alignment horizontal="center" vertical="center"/>
      <protection locked="1" hidden="1"/>
    </xf>
    <xf numFmtId="0" fontId="11" fillId="2" borderId="28" applyAlignment="1" applyProtection="1" pivotButton="0" quotePrefix="0" xfId="0">
      <alignment horizontal="center" vertical="center"/>
      <protection locked="1" hidden="1"/>
    </xf>
    <xf numFmtId="0" fontId="24" fillId="4" borderId="16" applyAlignment="1" applyProtection="1" pivotButton="0" quotePrefix="0" xfId="0">
      <alignment horizontal="center" vertical="center" wrapText="1"/>
      <protection locked="1" hidden="1"/>
    </xf>
    <xf numFmtId="0" fontId="24" fillId="4" borderId="17" applyAlignment="1" applyProtection="1" pivotButton="0" quotePrefix="0" xfId="0">
      <alignment horizontal="center" vertical="center" wrapText="1"/>
      <protection locked="1" hidden="1"/>
    </xf>
    <xf numFmtId="0" fontId="24" fillId="4" borderId="18" applyAlignment="1" applyProtection="1" pivotButton="0" quotePrefix="0" xfId="0">
      <alignment horizontal="center" vertical="center" wrapText="1"/>
      <protection locked="1" hidden="1"/>
    </xf>
    <xf numFmtId="0" fontId="4" fillId="0" borderId="116" applyAlignment="1" applyProtection="1" pivotButton="0" quotePrefix="0" xfId="5">
      <alignment horizontal="left" vertical="center"/>
      <protection locked="0" hidden="1"/>
    </xf>
    <xf numFmtId="0" fontId="37" fillId="0" borderId="117" applyAlignment="1" applyProtection="1" pivotButton="0" quotePrefix="0" xfId="0">
      <alignment horizontal="left" vertical="center"/>
      <protection locked="0" hidden="1"/>
    </xf>
    <xf numFmtId="0" fontId="37" fillId="0" borderId="118" applyAlignment="1" applyProtection="1" pivotButton="0" quotePrefix="0" xfId="0">
      <alignment horizontal="left" vertical="center"/>
      <protection locked="0" hidden="1"/>
    </xf>
    <xf numFmtId="0" fontId="37" fillId="0" borderId="76" applyAlignment="1" applyProtection="1" pivotButton="0" quotePrefix="0" xfId="0">
      <alignment horizontal="left" vertical="center"/>
      <protection locked="0" hidden="1"/>
    </xf>
    <xf numFmtId="0" fontId="37" fillId="0" borderId="59" applyAlignment="1" applyProtection="1" pivotButton="0" quotePrefix="0" xfId="0">
      <alignment horizontal="left" vertical="center"/>
      <protection locked="0" hidden="1"/>
    </xf>
    <xf numFmtId="0" fontId="37" fillId="0" borderId="77" applyAlignment="1" applyProtection="1" pivotButton="0" quotePrefix="0" xfId="0">
      <alignment horizontal="left" vertical="center"/>
      <protection locked="0" hidden="1"/>
    </xf>
    <xf numFmtId="0" fontId="37" fillId="0" borderId="119" applyAlignment="1" applyProtection="1" pivotButton="0" quotePrefix="0" xfId="0">
      <alignment horizontal="left" vertical="center"/>
      <protection locked="0" hidden="1"/>
    </xf>
    <xf numFmtId="0" fontId="37" fillId="0" borderId="64" applyAlignment="1" applyProtection="1" pivotButton="0" quotePrefix="0" xfId="0">
      <alignment horizontal="left" vertical="center"/>
      <protection locked="0" hidden="1"/>
    </xf>
    <xf numFmtId="0" fontId="37" fillId="0" borderId="120" applyAlignment="1" applyProtection="1" pivotButton="0" quotePrefix="0" xfId="0">
      <alignment horizontal="left" vertical="center"/>
      <protection locked="0" hidden="1"/>
    </xf>
    <xf numFmtId="14" fontId="37" fillId="0" borderId="76" applyAlignment="1" applyProtection="1" pivotButton="0" quotePrefix="0" xfId="0">
      <alignment horizontal="left" vertical="center"/>
      <protection locked="0" hidden="1"/>
    </xf>
    <xf numFmtId="14" fontId="37" fillId="0" borderId="59" applyAlignment="1" applyProtection="1" pivotButton="0" quotePrefix="0" xfId="0">
      <alignment horizontal="left" vertical="center"/>
      <protection locked="0" hidden="1"/>
    </xf>
    <xf numFmtId="14" fontId="37" fillId="0" borderId="77" applyAlignment="1" applyProtection="1" pivotButton="0" quotePrefix="0" xfId="0">
      <alignment horizontal="left" vertical="center"/>
      <protection locked="0" hidden="1"/>
    </xf>
    <xf numFmtId="2" fontId="11" fillId="0" borderId="15" applyAlignment="1" applyProtection="1" pivotButton="0" quotePrefix="0" xfId="0">
      <alignment horizontal="left" vertical="center"/>
      <protection locked="0" hidden="1"/>
    </xf>
    <xf numFmtId="2" fontId="11" fillId="0" borderId="20" applyAlignment="1" applyProtection="1" pivotButton="0" quotePrefix="0" xfId="0">
      <alignment horizontal="left" vertical="center"/>
      <protection locked="0" hidden="1"/>
    </xf>
    <xf numFmtId="2" fontId="11" fillId="0" borderId="6" applyAlignment="1" applyProtection="1" pivotButton="0" quotePrefix="0" xfId="0">
      <alignment horizontal="left" vertical="center"/>
      <protection locked="0" hidden="1"/>
    </xf>
    <xf numFmtId="2" fontId="11" fillId="0" borderId="22" applyAlignment="1" applyProtection="1" pivotButton="0" quotePrefix="0" xfId="0">
      <alignment horizontal="left" vertical="center"/>
      <protection locked="0" hidden="1"/>
    </xf>
    <xf numFmtId="2" fontId="11" fillId="0" borderId="24" applyAlignment="1" applyProtection="1" pivotButton="0" quotePrefix="0" xfId="0">
      <alignment horizontal="left" vertical="center"/>
      <protection locked="0" hidden="1"/>
    </xf>
    <xf numFmtId="2" fontId="11" fillId="0" borderId="25" applyAlignment="1" applyProtection="1" pivotButton="0" quotePrefix="0" xfId="0">
      <alignment horizontal="left" vertical="center"/>
      <protection locked="0" hidden="1"/>
    </xf>
    <xf numFmtId="0" fontId="38" fillId="4" borderId="6" applyAlignment="1" applyProtection="1" pivotButton="0" quotePrefix="0" xfId="0">
      <alignment horizontal="left" vertical="center"/>
      <protection locked="0" hidden="1"/>
    </xf>
    <xf numFmtId="0" fontId="38" fillId="4" borderId="22" applyAlignment="1" applyProtection="1" pivotButton="0" quotePrefix="0" xfId="0">
      <alignment horizontal="left" vertical="center"/>
      <protection locked="0" hidden="1"/>
    </xf>
    <xf numFmtId="0" fontId="38" fillId="4" borderId="24" applyAlignment="1" applyProtection="1" pivotButton="0" quotePrefix="0" xfId="0">
      <alignment horizontal="left" vertical="center"/>
      <protection locked="0" hidden="1"/>
    </xf>
    <xf numFmtId="0" fontId="38" fillId="4" borderId="25" applyAlignment="1" applyProtection="1" pivotButton="0" quotePrefix="0" xfId="0">
      <alignment horizontal="left" vertical="center"/>
      <protection locked="0" hidden="1"/>
    </xf>
    <xf numFmtId="0" fontId="21" fillId="4" borderId="122" applyAlignment="1" applyProtection="1" pivotButton="0" quotePrefix="0" xfId="0">
      <alignment horizontal="center" vertical="center"/>
      <protection locked="1" hidden="1"/>
    </xf>
    <xf numFmtId="0" fontId="7" fillId="2" borderId="6" applyAlignment="1" applyProtection="1" pivotButton="0" quotePrefix="0" xfId="0">
      <alignment horizontal="center"/>
      <protection locked="1" hidden="1"/>
    </xf>
    <xf numFmtId="0" fontId="7" fillId="2" borderId="22" applyAlignment="1" applyProtection="1" pivotButton="0" quotePrefix="0" xfId="0">
      <alignment horizontal="center"/>
      <protection locked="1" hidden="1"/>
    </xf>
    <xf numFmtId="0" fontId="7" fillId="2" borderId="29" applyAlignment="1" applyProtection="1" pivotButton="0" quotePrefix="0" xfId="0">
      <alignment horizontal="center"/>
      <protection locked="1" hidden="1"/>
    </xf>
    <xf numFmtId="0" fontId="7" fillId="2" borderId="62" applyAlignment="1" applyProtection="1" pivotButton="0" quotePrefix="0" xfId="0">
      <alignment horizontal="center"/>
      <protection locked="1" hidden="1"/>
    </xf>
    <xf numFmtId="0" fontId="7" fillId="2" borderId="24" applyAlignment="1" applyProtection="1" pivotButton="0" quotePrefix="0" xfId="0">
      <alignment horizontal="center"/>
      <protection locked="1" hidden="1"/>
    </xf>
    <xf numFmtId="0" fontId="7" fillId="2" borderId="25" applyAlignment="1" applyProtection="1" pivotButton="0" quotePrefix="0" xfId="0">
      <alignment horizontal="center"/>
      <protection locked="1" hidden="1"/>
    </xf>
    <xf numFmtId="0" fontId="37" fillId="0" borderId="6" applyAlignment="1" applyProtection="1" pivotButton="0" quotePrefix="0" xfId="0">
      <alignment horizontal="left" vertical="top"/>
      <protection locked="0" hidden="1"/>
    </xf>
    <xf numFmtId="0" fontId="37" fillId="0" borderId="22" applyAlignment="1" applyProtection="1" pivotButton="0" quotePrefix="0" xfId="0">
      <alignment horizontal="left" vertical="top"/>
      <protection locked="0" hidden="1"/>
    </xf>
    <xf numFmtId="0" fontId="7" fillId="0" borderId="40" applyAlignment="1" applyProtection="1" pivotButton="0" quotePrefix="0" xfId="0">
      <alignment horizontal="center"/>
      <protection locked="0" hidden="1"/>
    </xf>
    <xf numFmtId="0" fontId="14" fillId="7" borderId="78" applyAlignment="1" applyProtection="1" pivotButton="0" quotePrefix="0" xfId="2">
      <alignment horizontal="left" vertical="center" wrapText="1"/>
      <protection locked="1" hidden="1"/>
    </xf>
    <xf numFmtId="0" fontId="23" fillId="4" borderId="26" applyAlignment="1" applyProtection="1" pivotButton="0" quotePrefix="0" xfId="0">
      <alignment horizontal="center"/>
      <protection locked="1" hidden="1"/>
    </xf>
    <xf numFmtId="0" fontId="23" fillId="4" borderId="27" applyAlignment="1" applyProtection="1" pivotButton="0" quotePrefix="0" xfId="0">
      <alignment horizontal="center"/>
      <protection locked="1" hidden="1"/>
    </xf>
    <xf numFmtId="0" fontId="23" fillId="4" borderId="28" applyAlignment="1" applyProtection="1" pivotButton="0" quotePrefix="0" xfId="0">
      <alignment horizontal="center"/>
      <protection locked="1" hidden="1"/>
    </xf>
    <xf numFmtId="0" fontId="7" fillId="4" borderId="10" applyAlignment="1" applyProtection="1" pivotButton="0" quotePrefix="0" xfId="0">
      <alignment horizontal="left" vertical="center" wrapText="1"/>
      <protection locked="1" hidden="1"/>
    </xf>
    <xf numFmtId="0" fontId="7" fillId="4" borderId="12" applyAlignment="1" applyProtection="1" pivotButton="0" quotePrefix="0" xfId="0">
      <alignment horizontal="left" vertical="center" wrapText="1"/>
      <protection locked="1" hidden="1"/>
    </xf>
    <xf numFmtId="0" fontId="7" fillId="0" borderId="0" applyAlignment="1" applyProtection="1" pivotButton="0" quotePrefix="0" xfId="0">
      <alignment horizontal="left" vertical="top"/>
      <protection locked="0" hidden="1"/>
    </xf>
    <xf numFmtId="0" fontId="7" fillId="0" borderId="11" applyAlignment="1" applyProtection="1" pivotButton="0" quotePrefix="0" xfId="0">
      <alignment horizontal="left" vertical="top"/>
      <protection locked="0" hidden="1"/>
    </xf>
    <xf numFmtId="0" fontId="7" fillId="0" borderId="13" applyAlignment="1" applyProtection="1" pivotButton="0" quotePrefix="0" xfId="0">
      <alignment horizontal="left" vertical="top"/>
      <protection locked="0" hidden="1"/>
    </xf>
    <xf numFmtId="0" fontId="7" fillId="0" borderId="14" applyAlignment="1" applyProtection="1" pivotButton="0" quotePrefix="0" xfId="0">
      <alignment horizontal="left" vertical="top"/>
      <protection locked="0" hidden="1"/>
    </xf>
    <xf numFmtId="0" fontId="36" fillId="0" borderId="15" applyAlignment="1" applyProtection="1" pivotButton="0" quotePrefix="0" xfId="0">
      <alignment horizontal="left" vertical="center"/>
      <protection locked="0" hidden="1"/>
    </xf>
    <xf numFmtId="0" fontId="36" fillId="0" borderId="20" applyAlignment="1" applyProtection="1" pivotButton="0" quotePrefix="0" xfId="0">
      <alignment horizontal="left" vertical="center"/>
      <protection locked="0" hidden="1"/>
    </xf>
    <xf numFmtId="0" fontId="44" fillId="0" borderId="24" applyAlignment="1" applyProtection="1" pivotButton="0" quotePrefix="0" xfId="5">
      <alignment horizontal="left" vertical="top"/>
      <protection locked="0" hidden="1"/>
    </xf>
    <xf numFmtId="0" fontId="7" fillId="4" borderId="15" applyAlignment="1" applyProtection="1" pivotButton="0" quotePrefix="0" xfId="0">
      <alignment horizontal="center"/>
      <protection locked="1" hidden="1"/>
    </xf>
    <xf numFmtId="0" fontId="7" fillId="4" borderId="20" applyAlignment="1" applyProtection="1" pivotButton="0" quotePrefix="0" xfId="0">
      <alignment horizontal="center"/>
      <protection locked="1" hidden="1"/>
    </xf>
    <xf numFmtId="166" fontId="17" fillId="0" borderId="78" applyAlignment="1" applyProtection="1" pivotButton="0" quotePrefix="0" xfId="2">
      <alignment horizontal="center"/>
      <protection locked="1" hidden="1"/>
    </xf>
    <xf numFmtId="10" fontId="7" fillId="4" borderId="6" applyAlignment="1" applyProtection="1" pivotButton="0" quotePrefix="0" xfId="3">
      <alignment horizontal="center"/>
      <protection locked="1" hidden="1"/>
    </xf>
    <xf numFmtId="0" fontId="21" fillId="4" borderId="16" applyAlignment="1" applyProtection="1" pivotButton="0" quotePrefix="0" xfId="0">
      <alignment horizontal="center" vertical="center" wrapText="1"/>
      <protection locked="1" hidden="1"/>
    </xf>
    <xf numFmtId="0" fontId="21" fillId="4" borderId="17" applyAlignment="1" applyProtection="1" pivotButton="0" quotePrefix="0" xfId="0">
      <alignment horizontal="center" vertical="center" wrapText="1"/>
      <protection locked="1" hidden="1"/>
    </xf>
    <xf numFmtId="0" fontId="21" fillId="4" borderId="18" applyAlignment="1" applyProtection="1" pivotButton="0" quotePrefix="0" xfId="0">
      <alignment horizontal="center" vertical="center" wrapText="1"/>
      <protection locked="1" hidden="1"/>
    </xf>
    <xf numFmtId="1" fontId="17" fillId="0" borderId="78" applyAlignment="1" applyProtection="1" pivotButton="0" quotePrefix="0" xfId="2">
      <alignment horizontal="center"/>
      <protection locked="1" hidden="1"/>
    </xf>
    <xf numFmtId="0" fontId="17" fillId="0" borderId="78" applyAlignment="1" applyProtection="1" pivotButton="0" quotePrefix="0" xfId="2">
      <alignment horizontal="center"/>
      <protection locked="1" hidden="1"/>
    </xf>
    <xf numFmtId="0" fontId="7" fillId="0" borderId="51" applyAlignment="1" applyProtection="1" pivotButton="0" quotePrefix="0" xfId="0">
      <alignment horizontal="left" vertical="center"/>
      <protection locked="0" hidden="1"/>
    </xf>
    <xf numFmtId="0" fontId="7" fillId="0" borderId="20" applyAlignment="1" applyProtection="1" pivotButton="0" quotePrefix="0" xfId="0">
      <alignment horizontal="left" vertical="center"/>
      <protection locked="0" hidden="1"/>
    </xf>
    <xf numFmtId="0" fontId="28" fillId="9" borderId="84" applyAlignment="1" applyProtection="1" pivotButton="0" quotePrefix="0" xfId="2">
      <alignment horizontal="left" vertical="center" wrapText="1"/>
      <protection locked="1" hidden="1"/>
    </xf>
    <xf numFmtId="0" fontId="28" fillId="9" borderId="85" applyAlignment="1" applyProtection="1" pivotButton="0" quotePrefix="0" xfId="2">
      <alignment horizontal="left" vertical="center" wrapText="1"/>
      <protection locked="1" hidden="1"/>
    </xf>
    <xf numFmtId="0" fontId="28" fillId="9" borderId="86" applyAlignment="1" applyProtection="1" pivotButton="0" quotePrefix="0" xfId="2">
      <alignment horizontal="left" vertical="center" wrapText="1"/>
      <protection locked="1" hidden="1"/>
    </xf>
    <xf numFmtId="10" fontId="7" fillId="0" borderId="15" applyAlignment="1" applyProtection="1" pivotButton="0" quotePrefix="0" xfId="0">
      <alignment horizontal="center"/>
      <protection locked="0" hidden="1"/>
    </xf>
    <xf numFmtId="0" fontId="24" fillId="0" borderId="0" applyAlignment="1" pivotButton="0" quotePrefix="0" xfId="0">
      <alignment horizontal="center" vertical="center"/>
    </xf>
    <xf numFmtId="0" fontId="24" fillId="0" borderId="11" applyAlignment="1" pivotButton="0" quotePrefix="0" xfId="0">
      <alignment horizontal="center" vertical="center"/>
    </xf>
    <xf numFmtId="49" fontId="7" fillId="0" borderId="31" applyAlignment="1" applyProtection="1" pivotButton="0" quotePrefix="0" xfId="0">
      <alignment horizontal="left" vertical="top"/>
      <protection locked="0" hidden="1"/>
    </xf>
    <xf numFmtId="49" fontId="7" fillId="0" borderId="32" applyAlignment="1" applyProtection="1" pivotButton="0" quotePrefix="0" xfId="0">
      <alignment horizontal="left" vertical="top"/>
      <protection locked="0" hidden="1"/>
    </xf>
    <xf numFmtId="0" fontId="14" fillId="7" borderId="91" applyAlignment="1" applyProtection="1" pivotButton="0" quotePrefix="0" xfId="2">
      <alignment horizontal="left" vertical="center"/>
      <protection locked="1" hidden="1"/>
    </xf>
    <xf numFmtId="0" fontId="14" fillId="7" borderId="78" applyAlignment="1" applyProtection="1" pivotButton="0" quotePrefix="0" xfId="2">
      <alignment horizontal="left" vertical="center"/>
      <protection locked="1" hidden="1"/>
    </xf>
    <xf numFmtId="0" fontId="28" fillId="9" borderId="93" applyAlignment="1" applyProtection="1" pivotButton="0" quotePrefix="0" xfId="2">
      <alignment horizontal="left" vertical="center" wrapText="1"/>
      <protection locked="1" hidden="1"/>
    </xf>
    <xf numFmtId="0" fontId="28" fillId="9" borderId="94" applyAlignment="1" applyProtection="1" pivotButton="0" quotePrefix="0" xfId="2">
      <alignment horizontal="left" vertical="center" wrapText="1"/>
      <protection locked="1" hidden="1"/>
    </xf>
    <xf numFmtId="0" fontId="28" fillId="9" borderId="95" applyAlignment="1" applyProtection="1" pivotButton="0" quotePrefix="0" xfId="2">
      <alignment horizontal="left" vertical="center" wrapText="1"/>
      <protection locked="1" hidden="1"/>
    </xf>
    <xf numFmtId="0" fontId="10" fillId="6" borderId="65" applyAlignment="1" applyProtection="1" pivotButton="0" quotePrefix="0" xfId="2">
      <alignment horizontal="center" vertical="center"/>
      <protection locked="1" hidden="1"/>
    </xf>
    <xf numFmtId="0" fontId="10" fillId="6" borderId="66" applyAlignment="1" applyProtection="1" pivotButton="0" quotePrefix="0" xfId="2">
      <alignment horizontal="center" vertical="center"/>
      <protection locked="1" hidden="1"/>
    </xf>
    <xf numFmtId="0" fontId="10" fillId="6" borderId="67" applyAlignment="1" applyProtection="1" pivotButton="0" quotePrefix="0" xfId="2">
      <alignment horizontal="center" vertical="center"/>
      <protection locked="1" hidden="1"/>
    </xf>
    <xf numFmtId="0" fontId="16" fillId="0" borderId="91" applyAlignment="1" applyProtection="1" pivotButton="0" quotePrefix="0" xfId="2">
      <alignment horizontal="center" vertical="center"/>
      <protection locked="1" hidden="1"/>
    </xf>
    <xf numFmtId="0" fontId="16" fillId="0" borderId="78" applyAlignment="1" applyProtection="1" pivotButton="0" quotePrefix="0" xfId="2">
      <alignment horizontal="center" vertical="center"/>
      <protection locked="1" hidden="1"/>
    </xf>
    <xf numFmtId="0" fontId="16" fillId="0" borderId="92" applyAlignment="1" applyProtection="1" pivotButton="0" quotePrefix="0" xfId="2">
      <alignment horizontal="center" vertical="center"/>
      <protection locked="1" hidden="1"/>
    </xf>
    <xf numFmtId="0" fontId="7" fillId="0" borderId="0" applyAlignment="1" applyProtection="1" pivotButton="0" quotePrefix="0" xfId="0">
      <alignment horizontal="center"/>
      <protection locked="1" hidden="1"/>
    </xf>
    <xf numFmtId="0" fontId="7" fillId="0" borderId="69" applyAlignment="1" applyProtection="1" pivotButton="0" quotePrefix="0" xfId="0">
      <alignment horizontal="center"/>
      <protection locked="1" hidden="1"/>
    </xf>
    <xf numFmtId="1" fontId="17" fillId="0" borderId="78" applyAlignment="1" applyProtection="1" pivotButton="0" quotePrefix="0" xfId="0">
      <alignment horizontal="center"/>
      <protection locked="0" hidden="1"/>
    </xf>
    <xf numFmtId="0" fontId="17" fillId="0" borderId="78" applyAlignment="1" applyProtection="1" pivotButton="0" quotePrefix="0" xfId="2">
      <alignment horizontal="center" vertical="center"/>
      <protection locked="0" hidden="1"/>
    </xf>
    <xf numFmtId="0" fontId="28" fillId="9" borderId="89" applyAlignment="1" applyProtection="1" pivotButton="0" quotePrefix="0" xfId="2">
      <alignment horizontal="left" vertical="center" wrapText="1"/>
      <protection locked="1" hidden="1"/>
    </xf>
    <xf numFmtId="0" fontId="28" fillId="9" borderId="87" applyAlignment="1" applyProtection="1" pivotButton="0" quotePrefix="0" xfId="2">
      <alignment horizontal="left" vertical="center" wrapText="1"/>
      <protection locked="1" hidden="1"/>
    </xf>
    <xf numFmtId="0" fontId="17" fillId="0" borderId="0" applyAlignment="1" applyProtection="1" pivotButton="0" quotePrefix="0" xfId="2">
      <alignment horizontal="center" vertical="center"/>
      <protection locked="1" hidden="1"/>
    </xf>
    <xf numFmtId="0" fontId="10" fillId="6" borderId="91" applyAlignment="1" applyProtection="1" pivotButton="0" quotePrefix="0" xfId="2">
      <alignment horizontal="center" vertical="center"/>
      <protection locked="1" hidden="1"/>
    </xf>
    <xf numFmtId="0" fontId="10" fillId="6" borderId="78" applyAlignment="1" applyProtection="1" pivotButton="0" quotePrefix="0" xfId="2">
      <alignment horizontal="center" vertical="center"/>
      <protection locked="1" hidden="1"/>
    </xf>
    <xf numFmtId="0" fontId="28" fillId="8" borderId="80" applyAlignment="1" applyProtection="1" pivotButton="0" quotePrefix="0" xfId="2">
      <alignment horizontal="center" vertical="center"/>
      <protection locked="1" hidden="1"/>
    </xf>
    <xf numFmtId="0" fontId="27" fillId="2" borderId="81" applyAlignment="1" applyProtection="1" pivotButton="0" quotePrefix="0" xfId="2">
      <alignment vertical="center"/>
      <protection locked="1" hidden="1"/>
    </xf>
    <xf numFmtId="0" fontId="27" fillId="2" borderId="82" applyAlignment="1" applyProtection="1" pivotButton="0" quotePrefix="0" xfId="2">
      <alignment vertical="center"/>
      <protection locked="1" hidden="1"/>
    </xf>
    <xf numFmtId="0" fontId="7" fillId="0" borderId="119" applyAlignment="1" applyProtection="1" pivotButton="0" quotePrefix="0" xfId="0">
      <alignment horizontal="left" vertical="top"/>
      <protection locked="0" hidden="1"/>
    </xf>
    <xf numFmtId="0" fontId="7" fillId="0" borderId="64" applyAlignment="1" applyProtection="1" pivotButton="0" quotePrefix="0" xfId="0">
      <alignment horizontal="left" vertical="top"/>
      <protection locked="0" hidden="1"/>
    </xf>
    <xf numFmtId="0" fontId="7" fillId="0" borderId="120" applyAlignment="1" applyProtection="1" pivotButton="0" quotePrefix="0" xfId="0">
      <alignment horizontal="left" vertical="top"/>
      <protection locked="0" hidden="1"/>
    </xf>
    <xf numFmtId="0" fontId="7" fillId="2" borderId="68" applyAlignment="1" applyProtection="1" pivotButton="0" quotePrefix="0" xfId="2">
      <alignment horizontal="center" vertical="center" wrapText="1"/>
      <protection locked="1" hidden="1"/>
    </xf>
    <xf numFmtId="0" fontId="7" fillId="2" borderId="0" applyAlignment="1" applyProtection="1" pivotButton="0" quotePrefix="0" xfId="2">
      <alignment horizontal="center" vertical="center" wrapText="1"/>
      <protection locked="1" hidden="1"/>
    </xf>
    <xf numFmtId="0" fontId="7" fillId="2" borderId="69" applyAlignment="1" applyProtection="1" pivotButton="0" quotePrefix="0" xfId="2">
      <alignment horizontal="center" vertical="center" wrapText="1"/>
      <protection locked="1" hidden="1"/>
    </xf>
    <xf numFmtId="0" fontId="7" fillId="0" borderId="78" applyAlignment="1" applyProtection="1" pivotButton="0" quotePrefix="0" xfId="0">
      <alignment horizontal="center"/>
      <protection locked="1" hidden="1"/>
    </xf>
    <xf numFmtId="2" fontId="7" fillId="0" borderId="78" applyAlignment="1" applyProtection="1" pivotButton="0" quotePrefix="0" xfId="2">
      <alignment horizontal="center"/>
      <protection locked="0" hidden="1"/>
    </xf>
    <xf numFmtId="2" fontId="7" fillId="0" borderId="92" applyAlignment="1" applyProtection="1" pivotButton="0" quotePrefix="0" xfId="2">
      <alignment horizontal="center"/>
      <protection locked="0" hidden="1"/>
    </xf>
    <xf numFmtId="166" fontId="17" fillId="0" borderId="92" applyAlignment="1" applyProtection="1" pivotButton="0" quotePrefix="0" xfId="2">
      <alignment horizontal="center"/>
      <protection locked="1" hidden="1"/>
    </xf>
    <xf numFmtId="166" fontId="17" fillId="0" borderId="96" applyAlignment="1" applyProtection="1" pivotButton="0" quotePrefix="0" xfId="2">
      <alignment horizontal="center"/>
      <protection locked="1" hidden="1"/>
    </xf>
    <xf numFmtId="166" fontId="17" fillId="0" borderId="97" applyAlignment="1" applyProtection="1" pivotButton="0" quotePrefix="0" xfId="2">
      <alignment horizontal="center"/>
      <protection locked="1" hidden="1"/>
    </xf>
    <xf numFmtId="0" fontId="17" fillId="0" borderId="83" applyAlignment="1" applyProtection="1" pivotButton="0" quotePrefix="0" xfId="2">
      <alignment horizontal="center" vertical="center" wrapText="1"/>
      <protection locked="0" hidden="1"/>
    </xf>
    <xf numFmtId="1" fontId="17" fillId="0" borderId="88" applyAlignment="1" applyProtection="1" pivotButton="0" quotePrefix="0" xfId="2">
      <alignment horizontal="center"/>
      <protection locked="1" hidden="1"/>
    </xf>
    <xf numFmtId="0" fontId="17" fillId="0" borderId="90" applyAlignment="1" applyProtection="1" pivotButton="0" quotePrefix="0" xfId="2">
      <alignment horizontal="center"/>
      <protection locked="1" hidden="1"/>
    </xf>
    <xf numFmtId="165" fontId="0" fillId="0" borderId="0" applyAlignment="1" pivotButton="0" quotePrefix="0" xfId="0">
      <alignment horizontal="right"/>
    </xf>
    <xf numFmtId="0" fontId="0" fillId="11" borderId="0" pivotButton="0" quotePrefix="0" xfId="0"/>
    <xf numFmtId="0" fontId="0" fillId="10" borderId="0" pivotButton="0" quotePrefix="0" xfId="0"/>
    <xf numFmtId="0" fontId="23" fillId="4" borderId="141" applyAlignment="1" applyProtection="1" pivotButton="0" quotePrefix="0" xfId="0">
      <alignment horizontal="center" vertical="center"/>
      <protection locked="1" hidden="1"/>
    </xf>
    <xf numFmtId="0" fontId="0" fillId="0" borderId="27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43" fillId="0" borderId="141" applyAlignment="1" applyProtection="1" pivotButton="0" quotePrefix="0" xfId="5">
      <alignment horizontal="center" vertical="center" wrapText="1"/>
      <protection locked="1" hidden="1"/>
    </xf>
    <xf numFmtId="0" fontId="0" fillId="0" borderId="8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0" fillId="0" borderId="11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1" pivotButton="0" quotePrefix="0" xfId="0"/>
    <xf numFmtId="0" fontId="0" fillId="0" borderId="142" applyProtection="1" pivotButton="0" quotePrefix="0" xfId="0">
      <protection locked="1" hidden="1"/>
    </xf>
    <xf numFmtId="0" fontId="36" fillId="10" borderId="15" applyAlignment="1" applyProtection="1" pivotButton="0" quotePrefix="0" xfId="0">
      <alignment horizontal="left" vertical="center"/>
      <protection locked="0" hidden="1"/>
    </xf>
    <xf numFmtId="0" fontId="0" fillId="0" borderId="53" applyProtection="1" pivotButton="0" quotePrefix="0" xfId="0">
      <protection locked="0" hidden="1"/>
    </xf>
    <xf numFmtId="0" fontId="0" fillId="0" borderId="34" applyProtection="1" pivotButton="0" quotePrefix="0" xfId="0">
      <protection locked="0" hidden="1"/>
    </xf>
    <xf numFmtId="0" fontId="36" fillId="10" borderId="6" applyAlignment="1" applyProtection="1" pivotButton="0" quotePrefix="0" xfId="0">
      <alignment horizontal="left" vertical="center"/>
      <protection locked="0" hidden="1"/>
    </xf>
    <xf numFmtId="0" fontId="0" fillId="0" borderId="59" applyProtection="1" pivotButton="0" quotePrefix="0" xfId="0">
      <protection locked="0" hidden="1"/>
    </xf>
    <xf numFmtId="0" fontId="0" fillId="0" borderId="33" applyProtection="1" pivotButton="0" quotePrefix="0" xfId="0">
      <protection locked="0" hidden="1"/>
    </xf>
    <xf numFmtId="0" fontId="36" fillId="10" borderId="62" applyAlignment="1" applyProtection="1" pivotButton="0" quotePrefix="0" xfId="0">
      <alignment horizontal="left" vertical="center"/>
      <protection locked="0" hidden="1"/>
    </xf>
    <xf numFmtId="0" fontId="0" fillId="0" borderId="36" applyProtection="1" pivotButton="0" quotePrefix="0" xfId="0">
      <protection locked="0" hidden="1"/>
    </xf>
    <xf numFmtId="0" fontId="0" fillId="0" borderId="37" applyProtection="1" pivotButton="0" quotePrefix="0" xfId="0">
      <protection locked="0" hidden="1"/>
    </xf>
    <xf numFmtId="0" fontId="11" fillId="2" borderId="141" applyAlignment="1" applyProtection="1" pivotButton="0" quotePrefix="0" xfId="0">
      <alignment horizontal="center" vertical="center"/>
      <protection locked="1" hidden="1"/>
    </xf>
    <xf numFmtId="0" fontId="36" fillId="11" borderId="6" applyAlignment="1" applyProtection="1" pivotButton="0" quotePrefix="0" xfId="0">
      <alignment horizontal="left" vertical="center"/>
      <protection locked="0" hidden="1"/>
    </xf>
    <xf numFmtId="0" fontId="44" fillId="10" borderId="24" applyAlignment="1" applyProtection="1" pivotButton="0" quotePrefix="0" xfId="5">
      <alignment horizontal="left" vertical="top"/>
      <protection locked="0" hidden="1"/>
    </xf>
    <xf numFmtId="0" fontId="0" fillId="0" borderId="64" applyProtection="1" pivotButton="0" quotePrefix="0" xfId="0">
      <protection locked="0" hidden="1"/>
    </xf>
    <xf numFmtId="0" fontId="0" fillId="0" borderId="40" applyProtection="1" pivotButton="0" quotePrefix="0" xfId="0">
      <protection locked="0" hidden="1"/>
    </xf>
    <xf numFmtId="0" fontId="10" fillId="3" borderId="146" applyAlignment="1" applyProtection="1" pivotButton="0" quotePrefix="0" xfId="0">
      <alignment horizontal="center" vertical="center"/>
      <protection locked="1" hidden="1"/>
    </xf>
    <xf numFmtId="0" fontId="37" fillId="10" borderId="31" applyAlignment="1" applyProtection="1" pivotButton="0" quotePrefix="0" xfId="0">
      <alignment horizontal="left" vertical="center"/>
      <protection locked="0" hidden="1"/>
    </xf>
    <xf numFmtId="0" fontId="0" fillId="0" borderId="117" applyProtection="1" pivotButton="0" quotePrefix="0" xfId="0">
      <protection locked="0" hidden="1"/>
    </xf>
    <xf numFmtId="0" fontId="0" fillId="0" borderId="140" applyProtection="1" pivotButton="0" quotePrefix="0" xfId="0">
      <protection locked="0" hidden="1"/>
    </xf>
    <xf numFmtId="0" fontId="37" fillId="10" borderId="6" applyAlignment="1" applyProtection="1" pivotButton="0" quotePrefix="0" xfId="0">
      <alignment horizontal="left" vertical="center"/>
      <protection locked="0" hidden="1"/>
    </xf>
    <xf numFmtId="0" fontId="37" fillId="11" borderId="6" applyAlignment="1" applyProtection="1" pivotButton="0" quotePrefix="0" xfId="0">
      <alignment horizontal="left" vertical="center"/>
      <protection locked="0" hidden="1"/>
    </xf>
    <xf numFmtId="0" fontId="4" fillId="10" borderId="6" applyAlignment="1" applyProtection="1" pivotButton="0" quotePrefix="0" xfId="5">
      <alignment horizontal="left" vertical="center"/>
      <protection locked="0" hidden="1"/>
    </xf>
    <xf numFmtId="0" fontId="36" fillId="10" borderId="6" applyAlignment="1" applyProtection="1" pivotButton="0" quotePrefix="0" xfId="0">
      <alignment horizontal="center"/>
      <protection locked="0" hidden="1"/>
    </xf>
    <xf numFmtId="0" fontId="0" fillId="0" borderId="36" applyProtection="1" pivotButton="0" quotePrefix="0" xfId="0">
      <protection locked="1" hidden="1"/>
    </xf>
    <xf numFmtId="0" fontId="0" fillId="0" borderId="132" applyProtection="1" pivotButton="0" quotePrefix="0" xfId="0">
      <protection locked="1" hidden="1"/>
    </xf>
    <xf numFmtId="0" fontId="36" fillId="10" borderId="6" applyAlignment="1" applyProtection="1" pivotButton="0" quotePrefix="0" xfId="0">
      <alignment horizontal="center" vertical="center"/>
      <protection locked="0" hidden="1"/>
    </xf>
    <xf numFmtId="0" fontId="0" fillId="0" borderId="52" applyProtection="1" pivotButton="0" quotePrefix="0" xfId="0">
      <protection locked="1" hidden="1"/>
    </xf>
    <xf numFmtId="0" fontId="0" fillId="0" borderId="53" applyProtection="1" pivotButton="0" quotePrefix="0" xfId="0">
      <protection locked="1" hidden="1"/>
    </xf>
    <xf numFmtId="0" fontId="0" fillId="0" borderId="34" applyProtection="1" pivotButton="0" quotePrefix="0" xfId="0">
      <protection locked="1" hidden="1"/>
    </xf>
    <xf numFmtId="0" fontId="36" fillId="10" borderId="24" applyAlignment="1" applyProtection="1" pivotButton="0" quotePrefix="0" xfId="0">
      <alignment horizontal="left" vertical="top"/>
      <protection locked="0" hidden="1"/>
    </xf>
    <xf numFmtId="0" fontId="4" fillId="10" borderId="32" applyAlignment="1" applyProtection="1" pivotButton="0" quotePrefix="0" xfId="5">
      <alignment horizontal="left" vertical="center"/>
      <protection locked="0" hidden="1"/>
    </xf>
    <xf numFmtId="0" fontId="0" fillId="0" borderId="118" applyProtection="1" pivotButton="0" quotePrefix="0" xfId="0">
      <protection locked="0" hidden="1"/>
    </xf>
    <xf numFmtId="0" fontId="37" fillId="10" borderId="22" applyAlignment="1" applyProtection="1" pivotButton="0" quotePrefix="0" xfId="0">
      <alignment horizontal="left" vertical="center"/>
      <protection locked="0" hidden="1"/>
    </xf>
    <xf numFmtId="0" fontId="0" fillId="0" borderId="77" applyProtection="1" pivotButton="0" quotePrefix="0" xfId="0">
      <protection locked="0" hidden="1"/>
    </xf>
    <xf numFmtId="0" fontId="37" fillId="10" borderId="25" applyAlignment="1" applyProtection="1" pivotButton="0" quotePrefix="0" xfId="0">
      <alignment horizontal="left" vertical="center"/>
      <protection locked="0" hidden="1"/>
    </xf>
    <xf numFmtId="0" fontId="0" fillId="0" borderId="120" applyProtection="1" pivotButton="0" quotePrefix="0" xfId="0">
      <protection locked="0" hidden="1"/>
    </xf>
    <xf numFmtId="0" fontId="23" fillId="4" borderId="146" applyAlignment="1" applyProtection="1" pivotButton="0" quotePrefix="0" xfId="0">
      <alignment horizontal="center" vertical="center" wrapText="1"/>
      <protection locked="1" hidden="1"/>
    </xf>
    <xf numFmtId="0" fontId="25" fillId="4" borderId="147" applyAlignment="1" applyProtection="1" pivotButton="0" quotePrefix="0" xfId="0">
      <alignment horizontal="center" vertical="center" wrapText="1"/>
      <protection locked="1" hidden="1"/>
    </xf>
    <xf numFmtId="0" fontId="7" fillId="11" borderId="15" applyAlignment="1" applyProtection="1" pivotButton="0" quotePrefix="0" xfId="0">
      <alignment horizontal="left" vertical="center"/>
      <protection locked="0" hidden="1"/>
    </xf>
    <xf numFmtId="0" fontId="7" fillId="11" borderId="6" applyAlignment="1" applyProtection="1" pivotButton="0" quotePrefix="0" xfId="0">
      <alignment horizontal="left" vertical="center"/>
      <protection locked="0" hidden="1"/>
    </xf>
    <xf numFmtId="0" fontId="7" fillId="10" borderId="6" applyAlignment="1" applyProtection="1" pivotButton="0" quotePrefix="0" xfId="0">
      <alignment horizontal="left" vertical="center"/>
      <protection locked="0" hidden="1"/>
    </xf>
    <xf numFmtId="0" fontId="0" fillId="0" borderId="38" applyProtection="1" pivotButton="0" quotePrefix="0" xfId="0">
      <protection locked="1" hidden="1"/>
    </xf>
    <xf numFmtId="0" fontId="0" fillId="0" borderId="143" applyProtection="1" pivotButton="0" quotePrefix="0" xfId="0">
      <protection locked="1" hidden="1"/>
    </xf>
    <xf numFmtId="0" fontId="7" fillId="11" borderId="24" applyAlignment="1" applyProtection="1" pivotButton="0" quotePrefix="0" xfId="0">
      <alignment horizontal="left" vertical="center"/>
      <protection locked="0" hidden="1"/>
    </xf>
    <xf numFmtId="0" fontId="24" fillId="4" borderId="141" applyAlignment="1" applyProtection="1" pivotButton="0" quotePrefix="0" xfId="0">
      <alignment horizontal="center" vertical="center"/>
      <protection locked="1" hidden="1"/>
    </xf>
    <xf numFmtId="0" fontId="37" fillId="10" borderId="24" applyAlignment="1" applyProtection="1" pivotButton="0" quotePrefix="0" xfId="0">
      <alignment horizontal="left" vertical="center"/>
      <protection locked="0" hidden="1"/>
    </xf>
    <xf numFmtId="0" fontId="10" fillId="3" borderId="141" applyAlignment="1" applyProtection="1" pivotButton="0" quotePrefix="0" xfId="0">
      <alignment horizontal="center" vertical="center"/>
      <protection locked="1" hidden="1"/>
    </xf>
    <xf numFmtId="0" fontId="37" fillId="10" borderId="15" applyAlignment="1" applyProtection="1" pivotButton="0" quotePrefix="0" xfId="0">
      <alignment horizontal="left" vertical="center"/>
      <protection locked="0" hidden="1"/>
    </xf>
    <xf numFmtId="14" fontId="37" fillId="11" borderId="22" applyAlignment="1" applyProtection="1" pivotButton="0" quotePrefix="0" xfId="0">
      <alignment horizontal="left" vertical="center"/>
      <protection locked="0" hidden="1"/>
    </xf>
    <xf numFmtId="49" fontId="37" fillId="10" borderId="22" applyAlignment="1" applyProtection="1" pivotButton="0" quotePrefix="0" xfId="0">
      <alignment horizontal="left" vertical="center"/>
      <protection locked="0" hidden="1"/>
    </xf>
    <xf numFmtId="49" fontId="37" fillId="10" borderId="22" applyAlignment="1" applyProtection="1" pivotButton="0" quotePrefix="0" xfId="0">
      <alignment horizontal="center" vertical="center"/>
      <protection locked="0" hidden="1"/>
    </xf>
    <xf numFmtId="0" fontId="37" fillId="10" borderId="6" applyAlignment="1" applyProtection="1" pivotButton="0" quotePrefix="0" xfId="0">
      <alignment horizontal="left" vertical="top"/>
      <protection locked="0" hidden="1"/>
    </xf>
    <xf numFmtId="0" fontId="37" fillId="10" borderId="74" applyAlignment="1" applyProtection="1" pivotButton="0" quotePrefix="0" xfId="0">
      <alignment horizontal="left" vertical="center"/>
      <protection locked="0" hidden="1"/>
    </xf>
    <xf numFmtId="0" fontId="0" fillId="0" borderId="13" applyProtection="1" pivotButton="0" quotePrefix="0" xfId="0">
      <protection locked="0" hidden="1"/>
    </xf>
    <xf numFmtId="0" fontId="0" fillId="0" borderId="153" applyProtection="1" pivotButton="0" quotePrefix="0" xfId="0">
      <protection locked="0" hidden="1"/>
    </xf>
    <xf numFmtId="0" fontId="0" fillId="0" borderId="153" applyProtection="1" pivotButton="0" quotePrefix="0" xfId="0">
      <protection locked="1" hidden="1"/>
    </xf>
    <xf numFmtId="0" fontId="21" fillId="0" borderId="141" applyAlignment="1" applyProtection="1" pivotButton="0" quotePrefix="0" xfId="0">
      <alignment horizontal="center" vertical="center" wrapText="1"/>
      <protection locked="1" hidden="1"/>
    </xf>
    <xf numFmtId="14" fontId="25" fillId="0" borderId="20" applyAlignment="1" applyProtection="1" pivotButton="0" quotePrefix="0" xfId="0">
      <alignment horizontal="center" vertical="center"/>
      <protection locked="0" hidden="1"/>
    </xf>
    <xf numFmtId="0" fontId="0" fillId="0" borderId="54" applyProtection="1" pivotButton="0" quotePrefix="0" xfId="0">
      <protection locked="0" hidden="1"/>
    </xf>
    <xf numFmtId="0" fontId="25" fillId="0" borderId="20" applyAlignment="1" applyProtection="1" pivotButton="0" quotePrefix="0" xfId="0">
      <alignment horizontal="center" vertical="center"/>
      <protection locked="0" hidden="1"/>
    </xf>
    <xf numFmtId="0" fontId="0" fillId="0" borderId="132" applyProtection="1" pivotButton="0" quotePrefix="0" xfId="0">
      <protection locked="0" hidden="1"/>
    </xf>
    <xf numFmtId="0" fontId="0" fillId="0" borderId="38" applyProtection="1" pivotButton="0" quotePrefix="0" xfId="0">
      <protection locked="0" hidden="1"/>
    </xf>
    <xf numFmtId="0" fontId="0" fillId="0" borderId="0" applyProtection="1" pivotButton="0" quotePrefix="0" xfId="0">
      <protection locked="0" hidden="1"/>
    </xf>
    <xf numFmtId="0" fontId="0" fillId="0" borderId="143" applyProtection="1" pivotButton="0" quotePrefix="0" xfId="0">
      <protection locked="0" hidden="1"/>
    </xf>
    <xf numFmtId="0" fontId="0" fillId="0" borderId="52" applyProtection="1" pivotButton="0" quotePrefix="0" xfId="0">
      <protection locked="0" hidden="1"/>
    </xf>
    <xf numFmtId="0" fontId="23" fillId="4" borderId="146" applyAlignment="1" applyProtection="1" pivotButton="0" quotePrefix="0" xfId="0">
      <alignment horizontal="center" vertical="center"/>
      <protection locked="1" hidden="1"/>
    </xf>
    <xf numFmtId="0" fontId="0" fillId="0" borderId="138" applyProtection="1" pivotButton="0" quotePrefix="0" xfId="0">
      <protection locked="1" hidden="1"/>
    </xf>
    <xf numFmtId="0" fontId="0" fillId="0" borderId="139" applyProtection="1" pivotButton="0" quotePrefix="0" xfId="0">
      <protection locked="1" hidden="1"/>
    </xf>
    <xf numFmtId="0" fontId="7" fillId="10" borderId="78" applyAlignment="1" applyProtection="1" pivotButton="0" quotePrefix="0" xfId="0">
      <alignment horizontal="center"/>
      <protection locked="0" hidden="1"/>
    </xf>
    <xf numFmtId="0" fontId="0" fillId="0" borderId="85" applyProtection="1" pivotButton="0" quotePrefix="0" xfId="0">
      <protection locked="0" hidden="1"/>
    </xf>
    <xf numFmtId="0" fontId="0" fillId="0" borderId="86" applyProtection="1" pivotButton="0" quotePrefix="0" xfId="0">
      <protection locked="0" hidden="1"/>
    </xf>
    <xf numFmtId="0" fontId="0" fillId="0" borderId="127" applyProtection="1" pivotButton="0" quotePrefix="0" xfId="0">
      <protection locked="0" hidden="1"/>
    </xf>
    <xf numFmtId="0" fontId="0" fillId="0" borderId="129" applyProtection="1" pivotButton="0" quotePrefix="0" xfId="0">
      <protection locked="0" hidden="1"/>
    </xf>
    <xf numFmtId="0" fontId="0" fillId="0" borderId="159" applyProtection="1" pivotButton="0" quotePrefix="0" xfId="0">
      <protection locked="0" hidden="1"/>
    </xf>
    <xf numFmtId="0" fontId="0" fillId="0" borderId="130" applyProtection="1" pivotButton="0" quotePrefix="0" xfId="0">
      <protection locked="0" hidden="1"/>
    </xf>
    <xf numFmtId="0" fontId="0" fillId="0" borderId="160" applyProtection="1" pivotButton="0" quotePrefix="0" xfId="0">
      <protection locked="0" hidden="1"/>
    </xf>
    <xf numFmtId="0" fontId="0" fillId="0" borderId="161" applyProtection="1" pivotButton="0" quotePrefix="0" xfId="0">
      <protection locked="0" hidden="1"/>
    </xf>
    <xf numFmtId="0" fontId="0" fillId="0" borderId="87" applyProtection="1" pivotButton="0" quotePrefix="0" xfId="0">
      <protection locked="0" hidden="1"/>
    </xf>
    <xf numFmtId="0" fontId="0" fillId="0" borderId="127" applyProtection="1" pivotButton="0" quotePrefix="0" xfId="0">
      <protection locked="1" hidden="1"/>
    </xf>
    <xf numFmtId="0" fontId="7" fillId="4" borderId="25" applyAlignment="1" applyProtection="1" pivotButton="0" quotePrefix="0" xfId="0">
      <alignment horizontal="center" vertical="center"/>
      <protection locked="1" hidden="1"/>
    </xf>
    <xf numFmtId="0" fontId="0" fillId="0" borderId="37" applyProtection="1" pivotButton="0" quotePrefix="0" xfId="0">
      <protection locked="1" hidden="1"/>
    </xf>
    <xf numFmtId="0" fontId="7" fillId="10" borderId="24" applyAlignment="1" applyProtection="1" pivotButton="0" quotePrefix="0" xfId="0">
      <alignment horizontal="left" vertical="center"/>
      <protection locked="0" hidden="1"/>
    </xf>
    <xf numFmtId="0" fontId="0" fillId="0" borderId="39" applyProtection="1" pivotButton="0" quotePrefix="0" xfId="0">
      <protection locked="1" hidden="1"/>
    </xf>
    <xf numFmtId="49" fontId="7" fillId="10" borderId="31" applyAlignment="1" applyProtection="1" pivotButton="0" quotePrefix="0" xfId="0">
      <alignment horizontal="left" vertical="top"/>
      <protection locked="0" hidden="1"/>
    </xf>
    <xf numFmtId="49" fontId="7" fillId="2" borderId="75" applyAlignment="1" applyProtection="1" pivotButton="0" quotePrefix="0" xfId="0">
      <alignment horizontal="center" vertical="top"/>
      <protection locked="0" hidden="1"/>
    </xf>
    <xf numFmtId="0" fontId="0" fillId="0" borderId="11" applyProtection="1" pivotButton="0" quotePrefix="0" xfId="0">
      <protection locked="0" hidden="1"/>
    </xf>
    <xf numFmtId="0" fontId="0" fillId="0" borderId="39" applyProtection="1" pivotButton="0" quotePrefix="0" xfId="0">
      <protection locked="0" hidden="1"/>
    </xf>
    <xf numFmtId="0" fontId="0" fillId="0" borderId="14" applyProtection="1" pivotButton="0" quotePrefix="0" xfId="0">
      <protection locked="0" hidden="1"/>
    </xf>
    <xf numFmtId="0" fontId="24" fillId="0" borderId="166" applyAlignment="1" applyProtection="1" pivotButton="0" quotePrefix="0" xfId="0">
      <alignment horizontal="center" vertical="center" wrapText="1"/>
      <protection locked="1" hidden="1"/>
    </xf>
    <xf numFmtId="167" fontId="7" fillId="0" borderId="78" applyAlignment="1" applyProtection="1" pivotButton="0" quotePrefix="0" xfId="0">
      <alignment horizontal="left" vertical="top"/>
      <protection locked="0" hidden="1"/>
    </xf>
    <xf numFmtId="0" fontId="0" fillId="0" borderId="144" applyProtection="1" pivotButton="0" quotePrefix="0" xfId="0">
      <protection locked="0" hidden="1"/>
    </xf>
    <xf numFmtId="0" fontId="0" fillId="0" borderId="145" applyProtection="1" pivotButton="0" quotePrefix="0" xfId="0">
      <protection locked="0" hidden="1"/>
    </xf>
    <xf numFmtId="0" fontId="7" fillId="10" borderId="4" applyAlignment="1" applyProtection="1" pivotButton="0" quotePrefix="0" xfId="0">
      <alignment horizontal="left" vertical="top"/>
      <protection locked="0" hidden="1"/>
    </xf>
    <xf numFmtId="0" fontId="0" fillId="0" borderId="151" applyProtection="1" pivotButton="0" quotePrefix="0" xfId="0">
      <protection locked="0" hidden="1"/>
    </xf>
    <xf numFmtId="0" fontId="0" fillId="0" borderId="152" applyProtection="1" pivotButton="0" quotePrefix="0" xfId="0">
      <protection locked="0" hidden="1"/>
    </xf>
    <xf numFmtId="0" fontId="7" fillId="10" borderId="3" applyAlignment="1" applyProtection="1" pivotButton="0" quotePrefix="0" xfId="0">
      <alignment horizontal="center"/>
      <protection locked="0" hidden="1"/>
    </xf>
    <xf numFmtId="0" fontId="0" fillId="0" borderId="148" applyProtection="1" pivotButton="0" quotePrefix="0" xfId="0">
      <protection locked="0" hidden="1"/>
    </xf>
    <xf numFmtId="0" fontId="0" fillId="0" borderId="149" applyProtection="1" pivotButton="0" quotePrefix="0" xfId="0">
      <protection locked="0" hidden="1"/>
    </xf>
    <xf numFmtId="0" fontId="7" fillId="4" borderId="165" applyAlignment="1" applyProtection="1" pivotButton="0" quotePrefix="0" xfId="0">
      <alignment horizontal="center"/>
      <protection locked="1" hidden="1"/>
    </xf>
    <xf numFmtId="0" fontId="0" fillId="0" borderId="1" applyProtection="1" pivotButton="0" quotePrefix="0" xfId="0">
      <protection locked="1" hidden="1"/>
    </xf>
    <xf numFmtId="0" fontId="0" fillId="0" borderId="43" applyProtection="1" pivotButton="0" quotePrefix="0" xfId="0">
      <protection locked="1" hidden="1"/>
    </xf>
    <xf numFmtId="0" fontId="7" fillId="0" borderId="163" applyAlignment="1" applyProtection="1" pivotButton="0" quotePrefix="0" xfId="0">
      <alignment horizontal="left"/>
      <protection locked="0" hidden="1"/>
    </xf>
    <xf numFmtId="0" fontId="0" fillId="0" borderId="45" applyProtection="1" pivotButton="0" quotePrefix="0" xfId="0">
      <protection locked="0" hidden="1"/>
    </xf>
    <xf numFmtId="0" fontId="0" fillId="0" borderId="46" applyProtection="1" pivotButton="0" quotePrefix="0" xfId="0">
      <protection locked="0" hidden="1"/>
    </xf>
    <xf numFmtId="0" fontId="7" fillId="10" borderId="15" applyAlignment="1" applyProtection="1" pivotButton="0" quotePrefix="0" xfId="0">
      <alignment horizontal="left" vertical="center"/>
      <protection locked="0" hidden="1"/>
    </xf>
    <xf numFmtId="0" fontId="17" fillId="4" borderId="77" applyAlignment="1" applyProtection="1" pivotButton="0" quotePrefix="0" xfId="0">
      <alignment horizontal="center" vertical="top" wrapText="1"/>
      <protection locked="1" hidden="1"/>
    </xf>
    <xf numFmtId="10" fontId="7" fillId="10" borderId="15" applyAlignment="1" applyProtection="1" pivotButton="0" quotePrefix="0" xfId="0">
      <alignment horizontal="center"/>
      <protection locked="0" hidden="1"/>
    </xf>
    <xf numFmtId="0" fontId="0" fillId="0" borderId="59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54" applyProtection="1" pivotButton="0" quotePrefix="0" xfId="0">
      <protection locked="1" hidden="1"/>
    </xf>
    <xf numFmtId="10" fontId="7" fillId="10" borderId="22" applyAlignment="1" applyProtection="1" pivotButton="0" quotePrefix="0" xfId="3">
      <alignment horizontal="left" vertical="top"/>
      <protection locked="0" hidden="1"/>
    </xf>
    <xf numFmtId="10" fontId="7" fillId="0" borderId="22" applyAlignment="1" applyProtection="1" pivotButton="0" quotePrefix="0" xfId="3">
      <alignment horizontal="left" vertical="top"/>
      <protection locked="0" hidden="1"/>
    </xf>
    <xf numFmtId="0" fontId="7" fillId="10" borderId="6" applyAlignment="1" applyProtection="1" pivotButton="0" quotePrefix="0" xfId="3">
      <alignment horizontal="center"/>
      <protection locked="0" hidden="1"/>
    </xf>
    <xf numFmtId="0" fontId="17" fillId="4" borderId="25" applyAlignment="1" applyProtection="1" pivotButton="0" quotePrefix="0" xfId="0">
      <alignment horizontal="center" vertical="top" wrapText="1"/>
      <protection locked="1" hidden="1"/>
    </xf>
    <xf numFmtId="0" fontId="7" fillId="10" borderId="24" applyAlignment="1" applyProtection="1" pivotButton="0" quotePrefix="0" xfId="3">
      <alignment horizontal="center"/>
      <protection locked="0" hidden="1"/>
    </xf>
    <xf numFmtId="0" fontId="7" fillId="10" borderId="6" applyAlignment="1" applyProtection="1" pivotButton="0" quotePrefix="0" xfId="0">
      <alignment horizontal="center"/>
      <protection locked="0" hidden="1"/>
    </xf>
    <xf numFmtId="0" fontId="7" fillId="10" borderId="24" applyAlignment="1" applyProtection="1" pivotButton="0" quotePrefix="0" xfId="0">
      <alignment horizontal="center"/>
      <protection locked="0" hidden="1"/>
    </xf>
    <xf numFmtId="0" fontId="7" fillId="10" borderId="6" applyAlignment="1" applyProtection="1" pivotButton="0" quotePrefix="0" xfId="0">
      <alignment horizontal="center" vertical="center"/>
      <protection locked="0" hidden="1"/>
    </xf>
    <xf numFmtId="0" fontId="10" fillId="0" borderId="22" applyAlignment="1" applyProtection="1" pivotButton="0" quotePrefix="0" xfId="0">
      <alignment horizontal="center"/>
      <protection locked="0" hidden="1"/>
    </xf>
    <xf numFmtId="0" fontId="7" fillId="10" borderId="6" applyAlignment="1" applyProtection="1" pivotButton="0" quotePrefix="0" xfId="0">
      <alignment horizontal="left" vertical="top"/>
      <protection locked="0" hidden="1"/>
    </xf>
    <xf numFmtId="0" fontId="0" fillId="0" borderId="19" applyProtection="1" pivotButton="0" quotePrefix="0" xfId="0">
      <protection locked="1" hidden="1"/>
    </xf>
    <xf numFmtId="0" fontId="39" fillId="10" borderId="15" applyAlignment="1" applyProtection="1" pivotButton="0" quotePrefix="0" xfId="0">
      <alignment horizontal="center" vertical="center"/>
      <protection locked="0" hidden="1"/>
    </xf>
    <xf numFmtId="0" fontId="39" fillId="10" borderId="6" applyAlignment="1" applyProtection="1" pivotButton="0" quotePrefix="0" xfId="0">
      <alignment horizontal="center" vertical="center"/>
      <protection locked="0" hidden="1"/>
    </xf>
    <xf numFmtId="1" fontId="39" fillId="4" borderId="6" applyAlignment="1" applyProtection="1" pivotButton="0" quotePrefix="0" xfId="0">
      <alignment horizontal="center" vertical="center"/>
      <protection locked="1" hidden="1"/>
    </xf>
    <xf numFmtId="0" fontId="18" fillId="0" borderId="75" applyAlignment="1" applyProtection="1" pivotButton="0" quotePrefix="0" xfId="0">
      <alignment horizontal="center"/>
      <protection locked="1" hidden="1"/>
    </xf>
    <xf numFmtId="0" fontId="7" fillId="10" borderId="24" applyAlignment="1" applyProtection="1" pivotButton="0" quotePrefix="0" xfId="0">
      <alignment horizontal="center" vertical="center"/>
      <protection locked="0" hidden="1"/>
    </xf>
    <xf numFmtId="0" fontId="7" fillId="0" borderId="146" applyAlignment="1" applyProtection="1" pivotButton="0" quotePrefix="0" xfId="0">
      <alignment horizontal="center" vertical="center"/>
      <protection locked="1" hidden="1"/>
    </xf>
    <xf numFmtId="0" fontId="7" fillId="4" borderId="162" applyAlignment="1" applyProtection="1" pivotButton="0" quotePrefix="0" xfId="0">
      <alignment horizontal="left" vertical="center" wrapText="1"/>
      <protection locked="1" hidden="1"/>
    </xf>
    <xf numFmtId="0" fontId="0" fillId="0" borderId="60" applyProtection="1" pivotButton="0" quotePrefix="0" xfId="0">
      <protection locked="1" hidden="1"/>
    </xf>
    <xf numFmtId="0" fontId="7" fillId="5" borderId="18" applyAlignment="1" applyProtection="1" pivotButton="0" quotePrefix="0" xfId="0">
      <alignment horizontal="center"/>
      <protection locked="0" hidden="1"/>
    </xf>
    <xf numFmtId="0" fontId="0" fillId="0" borderId="27" applyProtection="1" pivotButton="0" quotePrefix="0" xfId="0">
      <protection locked="0" hidden="1"/>
    </xf>
    <xf numFmtId="0" fontId="0" fillId="0" borderId="28" applyProtection="1" pivotButton="0" quotePrefix="0" xfId="0">
      <protection locked="0" hidden="1"/>
    </xf>
    <xf numFmtId="0" fontId="26" fillId="4" borderId="141" applyAlignment="1" applyProtection="1" pivotButton="0" quotePrefix="0" xfId="0">
      <alignment horizontal="center" vertical="center"/>
      <protection locked="1" hidden="1"/>
    </xf>
    <xf numFmtId="0" fontId="0" fillId="0" borderId="64" applyProtection="1" pivotButton="0" quotePrefix="0" xfId="0">
      <protection locked="1" hidden="1"/>
    </xf>
    <xf numFmtId="9" fontId="7" fillId="10" borderId="15" applyAlignment="1" applyProtection="1" pivotButton="0" quotePrefix="0" xfId="3">
      <alignment horizontal="center" vertical="center"/>
      <protection locked="0" hidden="1"/>
    </xf>
    <xf numFmtId="0" fontId="7" fillId="4" borderId="22" applyAlignment="1" applyProtection="1" pivotButton="0" quotePrefix="0" xfId="0">
      <alignment horizontal="center" vertical="center"/>
      <protection locked="1" hidden="1"/>
    </xf>
    <xf numFmtId="0" fontId="7" fillId="10" borderId="25" applyAlignment="1" applyProtection="1" pivotButton="0" quotePrefix="0" xfId="0">
      <alignment horizontal="left" vertical="top"/>
      <protection locked="0" hidden="1"/>
    </xf>
    <xf numFmtId="0" fontId="7" fillId="11" borderId="6" applyAlignment="1" applyProtection="1" pivotButton="0" quotePrefix="0" xfId="0">
      <alignment horizontal="center" vertical="center"/>
      <protection locked="0" hidden="1"/>
    </xf>
    <xf numFmtId="9" fontId="7" fillId="10" borderId="24" applyAlignment="1" applyProtection="1" pivotButton="0" quotePrefix="0" xfId="3">
      <alignment horizontal="center" vertical="center"/>
      <protection locked="0" hidden="1"/>
    </xf>
    <xf numFmtId="0" fontId="10" fillId="4" borderId="18" applyAlignment="1" applyProtection="1" pivotButton="0" quotePrefix="0" xfId="0">
      <alignment horizontal="center"/>
      <protection locked="1" hidden="1"/>
    </xf>
    <xf numFmtId="0" fontId="7" fillId="11" borderId="24" applyAlignment="1" applyProtection="1" pivotButton="0" quotePrefix="0" xfId="0">
      <alignment horizontal="center" vertical="center"/>
      <protection locked="0" hidden="1"/>
    </xf>
    <xf numFmtId="0" fontId="10" fillId="3" borderId="134" applyAlignment="1" applyProtection="1" pivotButton="0" quotePrefix="0" xfId="0">
      <alignment horizontal="center" vertical="center"/>
      <protection locked="1" hidden="1"/>
    </xf>
    <xf numFmtId="0" fontId="0" fillId="0" borderId="66" applyProtection="1" pivotButton="0" quotePrefix="0" xfId="0">
      <protection locked="1" hidden="1"/>
    </xf>
    <xf numFmtId="0" fontId="0" fillId="0" borderId="67" applyProtection="1" pivotButton="0" quotePrefix="0" xfId="0">
      <protection locked="1" hidden="1"/>
    </xf>
    <xf numFmtId="0" fontId="27" fillId="4" borderId="154" applyAlignment="1" applyProtection="1" pivotButton="0" quotePrefix="0" xfId="0">
      <alignment horizontal="center" vertical="center" wrapText="1"/>
      <protection locked="1" hidden="1"/>
    </xf>
    <xf numFmtId="0" fontId="0" fillId="0" borderId="106" applyProtection="1" pivotButton="0" quotePrefix="0" xfId="0">
      <protection locked="1" hidden="1"/>
    </xf>
    <xf numFmtId="0" fontId="23" fillId="0" borderId="131" applyAlignment="1" applyProtection="1" pivotButton="0" quotePrefix="0" xfId="0">
      <alignment horizontal="center" vertical="center"/>
      <protection locked="1" hidden="1"/>
    </xf>
    <xf numFmtId="0" fontId="0" fillId="0" borderId="69" applyProtection="1" pivotButton="0" quotePrefix="0" xfId="0">
      <protection locked="1" hidden="1"/>
    </xf>
    <xf numFmtId="166" fontId="7" fillId="0" borderId="78" applyAlignment="1" applyProtection="1" pivotButton="0" quotePrefix="0" xfId="2">
      <alignment horizontal="center"/>
      <protection locked="0" hidden="1"/>
    </xf>
    <xf numFmtId="0" fontId="0" fillId="0" borderId="85" applyProtection="1" pivotButton="0" quotePrefix="0" xfId="0">
      <protection locked="1" hidden="1"/>
    </xf>
    <xf numFmtId="0" fontId="0" fillId="0" borderId="86" applyProtection="1" pivotButton="0" quotePrefix="0" xfId="0">
      <protection locked="1" hidden="1"/>
    </xf>
    <xf numFmtId="0" fontId="41" fillId="0" borderId="6" applyAlignment="1" applyProtection="1" pivotButton="0" quotePrefix="0" xfId="0">
      <alignment horizontal="center" vertical="center"/>
      <protection locked="1" hidden="1"/>
    </xf>
    <xf numFmtId="0" fontId="7" fillId="0" borderId="101" applyAlignment="1" applyProtection="1" pivotButton="0" quotePrefix="0" xfId="0">
      <alignment horizontal="center" vertical="center"/>
      <protection locked="1" hidden="1"/>
    </xf>
    <xf numFmtId="0" fontId="0" fillId="0" borderId="109" applyProtection="1" pivotButton="0" quotePrefix="0" xfId="0">
      <protection locked="1" hidden="1"/>
    </xf>
    <xf numFmtId="0" fontId="0" fillId="0" borderId="81" applyProtection="1" pivotButton="0" quotePrefix="0" xfId="0">
      <protection locked="1" hidden="1"/>
    </xf>
    <xf numFmtId="0" fontId="0" fillId="0" borderId="156" applyProtection="1" pivotButton="0" quotePrefix="0" xfId="0">
      <protection locked="1" hidden="1"/>
    </xf>
    <xf numFmtId="2" fontId="7" fillId="0" borderId="101" applyAlignment="1" applyProtection="1" pivotButton="0" quotePrefix="0" xfId="0">
      <alignment horizontal="center"/>
      <protection locked="0" hidden="1"/>
    </xf>
    <xf numFmtId="0" fontId="0" fillId="0" borderId="109" applyProtection="1" pivotButton="0" quotePrefix="0" xfId="0">
      <protection locked="0" hidden="1"/>
    </xf>
    <xf numFmtId="2" fontId="7" fillId="0" borderId="6" applyAlignment="1" applyProtection="1" pivotButton="0" quotePrefix="0" xfId="0">
      <alignment horizontal="center"/>
      <protection locked="1" hidden="1"/>
    </xf>
    <xf numFmtId="2" fontId="7" fillId="0" borderId="101" applyAlignment="1" applyProtection="1" pivotButton="0" quotePrefix="0" xfId="0">
      <alignment horizontal="center"/>
      <protection locked="1" hidden="1"/>
    </xf>
    <xf numFmtId="0" fontId="0" fillId="0" borderId="115" applyProtection="1" pivotButton="0" quotePrefix="0" xfId="0">
      <protection locked="1" hidden="1"/>
    </xf>
    <xf numFmtId="2" fontId="7" fillId="0" borderId="103" applyAlignment="1" applyProtection="1" pivotButton="0" quotePrefix="0" xfId="0">
      <alignment horizontal="center"/>
      <protection locked="1" hidden="1"/>
    </xf>
    <xf numFmtId="2" fontId="7" fillId="0" borderId="158" applyAlignment="1" applyProtection="1" pivotButton="0" quotePrefix="0" xfId="0">
      <alignment horizontal="center"/>
      <protection locked="1" hidden="1"/>
    </xf>
    <xf numFmtId="0" fontId="0" fillId="0" borderId="114" applyProtection="1" pivotButton="0" quotePrefix="0" xfId="0">
      <protection locked="1" hidden="1"/>
    </xf>
    <xf numFmtId="0" fontId="10" fillId="6" borderId="134" applyAlignment="1" applyProtection="1" pivotButton="0" quotePrefix="0" xfId="2">
      <alignment horizontal="center" vertical="center"/>
      <protection locked="1" hidden="1"/>
    </xf>
    <xf numFmtId="0" fontId="28" fillId="9" borderId="78" applyAlignment="1" applyProtection="1" pivotButton="0" quotePrefix="0" xfId="2">
      <alignment horizontal="left" vertical="center" wrapText="1"/>
      <protection locked="1" hidden="1"/>
    </xf>
    <xf numFmtId="166" fontId="17" fillId="0" borderId="78" applyAlignment="1" applyProtection="1" pivotButton="0" quotePrefix="0" xfId="2">
      <alignment horizontal="center"/>
      <protection locked="1" hidden="1"/>
    </xf>
    <xf numFmtId="0" fontId="7" fillId="2" borderId="131" applyAlignment="1" applyProtection="1" pivotButton="0" quotePrefix="0" xfId="2">
      <alignment horizontal="center" vertical="center" wrapText="1"/>
      <protection locked="1" hidden="1"/>
    </xf>
    <xf numFmtId="0" fontId="28" fillId="8" borderId="136" applyAlignment="1" applyProtection="1" pivotButton="0" quotePrefix="0" xfId="2">
      <alignment horizontal="center" vertical="center"/>
      <protection locked="1" hidden="1"/>
    </xf>
    <xf numFmtId="0" fontId="0" fillId="0" borderId="82" applyProtection="1" pivotButton="0" quotePrefix="0" xfId="0">
      <protection locked="1" hidden="1"/>
    </xf>
    <xf numFmtId="0" fontId="28" fillId="9" borderId="135" applyAlignment="1" applyProtection="1" pivotButton="0" quotePrefix="0" xfId="2">
      <alignment horizontal="left" vertical="center" wrapText="1"/>
      <protection locked="1" hidden="1"/>
    </xf>
    <xf numFmtId="0" fontId="0" fillId="0" borderId="87" applyProtection="1" pivotButton="0" quotePrefix="0" xfId="0">
      <protection locked="1" hidden="1"/>
    </xf>
    <xf numFmtId="0" fontId="28" fillId="9" borderId="133" applyAlignment="1" applyProtection="1" pivotButton="0" quotePrefix="0" xfId="2">
      <alignment horizontal="left" vertical="center" wrapText="1"/>
      <protection locked="1" hidden="1"/>
    </xf>
    <xf numFmtId="0" fontId="0" fillId="0" borderId="95" applyProtection="1" pivotButton="0" quotePrefix="0" xfId="0">
      <protection locked="1" hidden="1"/>
    </xf>
    <xf numFmtId="166" fontId="17" fillId="0" borderId="96" applyAlignment="1" applyProtection="1" pivotButton="0" quotePrefix="0" xfId="2">
      <alignment horizontal="center"/>
      <protection locked="1" hidden="1"/>
    </xf>
    <xf numFmtId="0" fontId="23" fillId="4" borderId="141" applyAlignment="1" applyProtection="1" pivotButton="0" quotePrefix="0" xfId="0">
      <alignment horizontal="center"/>
      <protection locked="1" hidden="1"/>
    </xf>
    <xf numFmtId="0" fontId="7" fillId="10" borderId="14" applyAlignment="1" applyProtection="1" pivotButton="0" quotePrefix="0" xfId="0">
      <alignment horizontal="left" vertical="top"/>
      <protection locked="0" hidden="1"/>
    </xf>
    <xf numFmtId="14" fontId="37" fillId="10" borderId="22" applyAlignment="1" applyProtection="1" pivotButton="0" quotePrefix="0" xfId="0">
      <alignment horizontal="left" vertical="center"/>
      <protection locked="0" hidden="1"/>
    </xf>
  </cellXfs>
  <cellStyles count="6">
    <cellStyle name="Normal" xfId="0" builtinId="0"/>
    <cellStyle name="Currency 2" xfId="1"/>
    <cellStyle name="Normal 2" xfId="2"/>
    <cellStyle name="Porcentaje" xfId="3" builtinId="5"/>
    <cellStyle name="Moneda 2" xfId="4"/>
    <cellStyle name="Hipervínculo" xfId="5" builtinId="8"/>
  </cellStyles>
  <dxfs count="31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ont>
        <color theme="0" tint="-0.1499679555650502"/>
      </font>
      <fill>
        <patternFill>
          <bgColor theme="0" tint="-0.1499679555650502"/>
        </patternFill>
      </fill>
      <border>
        <left/>
        <right/>
        <top/>
        <bottom/>
        <vertical/>
        <horizontal/>
      </border>
    </dxf>
    <dxf>
      <font>
        <color theme="0" tint="-0.1499679555650502"/>
      </font>
      <fill>
        <patternFill>
          <bgColor theme="0" tint="-0.1499679555650502"/>
        </patternFill>
      </fill>
      <border>
        <left/>
        <right/>
        <top/>
        <bottom/>
        <vertical/>
        <horizontal/>
      </border>
    </dxf>
    <dxf>
      <font>
        <color theme="0" tint="-0.1499679555650502"/>
      </font>
      <fill>
        <patternFill>
          <bgColor theme="0" tint="-0.1499679555650502"/>
        </patternFill>
      </fill>
      <border>
        <left/>
        <right/>
        <top/>
        <bottom/>
        <vertical/>
        <horizontal/>
      </border>
    </dxf>
    <dxf>
      <font>
        <color theme="0" tint="-0.1499679555650502"/>
      </font>
      <fill>
        <patternFill>
          <bgColor theme="0" tint="-0.1499679555650502"/>
        </patternFill>
      </fill>
      <border>
        <left/>
        <right/>
        <top/>
        <bottom/>
        <vertical/>
        <horizontal/>
      </border>
    </dxf>
    <dxf>
      <font>
        <color theme="0" tint="-0.1499679555650502"/>
      </font>
      <fill>
        <patternFill>
          <bgColor theme="0" tint="-0.1499679555650502"/>
        </patternFill>
      </fill>
      <border>
        <left/>
        <right/>
        <top/>
        <bottom/>
        <vertical/>
        <horizontal/>
      </border>
    </dxf>
    <dxf>
      <font>
        <color theme="0" tint="-0.1499679555650502"/>
      </font>
      <fill>
        <patternFill>
          <bgColor theme="0" tint="-0.1499679555650502"/>
        </patternFill>
      </fill>
      <border>
        <left/>
        <right/>
        <top/>
        <bottom/>
        <vertical/>
        <horizontal/>
      </border>
    </dxf>
    <dxf>
      <font>
        <color theme="0" tint="-0.0499893185216834"/>
      </font>
      <fill>
        <patternFill>
          <bgColor theme="0" tint="-0.0499893185216834"/>
        </patternFill>
      </fill>
      <border>
        <left/>
        <right/>
        <top/>
        <bottom/>
      </border>
    </dxf>
    <dxf>
      <font>
        <color theme="0" tint="-0.0499893185216834"/>
      </font>
      <fill>
        <patternFill>
          <bgColor theme="0" tint="-0.0499893185216834"/>
        </patternFill>
      </fill>
      <border>
        <left/>
        <right/>
        <top/>
        <bottom/>
      </border>
    </dxf>
    <dxf>
      <font>
        <color theme="0"/>
      </font>
      <fill>
        <patternFill>
          <bgColor theme="0" tint="-0.0499893185216834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ill>
        <patternFill>
          <bgColor theme="0" tint="-0.249946592608417"/>
        </patternFill>
      </fill>
    </dxf>
    <dxf>
      <font>
        <color theme="0" tint="-0.0499893185216834"/>
      </font>
      <fill>
        <patternFill>
          <bgColor theme="0" tint="-0.0499893185216834"/>
        </patternFill>
      </fill>
      <border>
        <left/>
        <right/>
        <top/>
        <bottom/>
        <vertical/>
        <horizontal/>
      </border>
    </dxf>
    <dxf>
      <font>
        <color theme="0" tint="-0.1499679555650502"/>
      </font>
      <fill>
        <patternFill>
          <bgColor theme="0" tint="-0.1499679555650502"/>
        </patternFill>
      </fill>
    </dxf>
    <dxf>
      <font>
        <color theme="0" tint="-0.1499679555650502"/>
      </font>
      <fill>
        <patternFill>
          <bgColor theme="0" tint="-0.1499679555650502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 tint="-0.0499893185216834"/>
        </patternFill>
      </fill>
      <border>
        <left/>
        <right/>
        <top/>
        <bottom/>
        <vertical/>
        <horizontal/>
      </border>
    </dxf>
    <dxf>
      <font>
        <color theme="0" tint="-0.0499893185216834"/>
      </font>
      <fill>
        <patternFill>
          <bgColor theme="0" tint="-0.0499893185216834"/>
        </patternFill>
      </fill>
      <border>
        <left/>
        <right/>
        <top/>
        <bottom/>
        <vertical/>
        <horizontal/>
      </border>
    </dxf>
    <dxf>
      <font>
        <color theme="0" tint="-0.0499893185216834"/>
      </font>
      <fill>
        <patternFill>
          <bgColor theme="0" tint="-0.0499893185216834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ont>
        <color theme="0" tint="-0.1499679555650502"/>
      </font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ont>
        <color theme="0" tint="-0.1499679555650502"/>
      </font>
      <fill>
        <patternFill>
          <bgColor theme="0" tint="-0.1499679555650502"/>
        </patternFill>
      </fill>
      <border>
        <left/>
        <right/>
        <top/>
        <bottom/>
        <vertical/>
        <horizontal/>
      </border>
    </dxf>
    <dxf>
      <fill>
        <patternFill>
          <bgColor theme="0" tint="-0.1499679555650502"/>
        </patternFill>
      </fill>
    </dxf>
    <dxf>
      <font>
        <color theme="0" tint="-0.1499679555650502"/>
      </font>
      <fill>
        <patternFill>
          <bgColor theme="0" tint="-0.249946592608417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ayout/>
      <doughnutChart>
        <varyColors val="1"/>
        <ser>
          <idx val="0"/>
          <order val="0"/>
          <spPr>
            <a:ln xmlns:a="http://schemas.openxmlformats.org/drawingml/2006/main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3095B4"/>
              </a:solidFill>
              <a:ln xmlns:a="http://schemas.openxmlformats.org/drawingml/2006/main" w="92075">
                <a:solidFill>
                  <a:srgbClr val="3095B4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bg1">
                  <a:lumMod val="85000"/>
                </a:schemeClr>
              </a:solidFill>
              <a:ln xmlns:a="http://schemas.openxmlformats.org/drawingml/2006/main" w="50800">
                <a:solidFill>
                  <a:schemeClr val="bg1">
                    <a:lumMod val="85000"/>
                  </a:schemeClr>
                </a:solidFill>
                <a:prstDash val="solid"/>
              </a:ln>
            </spPr>
          </dPt>
          <cat>
            <strRef>
              <f>'BIR FORM'!$D$16:$D$17</f>
              <strCache>
                <ptCount val="2"/>
                <pt idx="0">
                  <v xml:space="preserve">Progreso </v>
                </pt>
                <pt idx="1">
                  <v xml:space="preserve">Informacion restante </v>
                </pt>
              </strCache>
            </strRef>
          </cat>
          <val>
            <numRef>
              <f>'BIR FORM'!$E$16:$E$17</f>
              <numCache>
                <formatCode>0%</formatCode>
                <ptCount val="2"/>
                <pt idx="0">
                  <v>0</v>
                </pt>
                <pt idx="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90"/>
      </doughnut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005172"/>
              </a:solidFill>
              <a:ln xmlns:a="http://schemas.openxmlformats.org/drawingml/2006/main" w="88900">
                <a:solidFill>
                  <a:srgbClr val="005172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bg1">
                  <a:lumMod val="85000"/>
                </a:schemeClr>
              </a:solidFill>
              <a:ln xmlns:a="http://schemas.openxmlformats.org/drawingml/2006/main" w="57150">
                <a:solidFill>
                  <a:schemeClr val="bg1">
                    <a:lumMod val="85000"/>
                  </a:schemeClr>
                </a:solidFill>
                <a:prstDash val="solid"/>
              </a:ln>
            </spPr>
          </dPt>
          <cat>
            <strRef>
              <f>'BIR FORM'!$D$16:$D$17</f>
              <strCache>
                <ptCount val="2"/>
                <pt idx="0">
                  <v xml:space="preserve">Progreso </v>
                </pt>
                <pt idx="1">
                  <v xml:space="preserve">Informacion restante </v>
                </pt>
              </strCache>
            </strRef>
          </cat>
          <val>
            <numRef>
              <f>'BIR FORM'!$G$16:$G$17</f>
              <numCache>
                <formatCode>0%</formatCode>
                <ptCount val="2"/>
                <pt idx="0">
                  <v>0</v>
                </pt>
                <pt idx="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90"/>
      </doughnut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/>
      <doughnutChart>
        <varyColors val="1"/>
        <ser>
          <idx val="0"/>
          <order val="0"/>
          <spPr>
            <a:ln xmlns:a="http://schemas.openxmlformats.org/drawingml/2006/main">
              <a:solidFill>
                <a:srgbClr val="3095B4"/>
              </a:solidFill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3095B4"/>
              </a:solidFill>
              <a:ln xmlns:a="http://schemas.openxmlformats.org/drawingml/2006/main" w="120650">
                <a:solidFill>
                  <a:srgbClr val="3095B4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bg1">
                  <a:lumMod val="85000"/>
                </a:schemeClr>
              </a:solidFill>
              <a:ln xmlns:a="http://schemas.openxmlformats.org/drawingml/2006/main" w="76200">
                <a:solidFill>
                  <a:schemeClr val="bg1">
                    <a:lumMod val="85000"/>
                  </a:schemeClr>
                </a:solidFill>
                <a:prstDash val="solid"/>
              </a:ln>
            </spPr>
          </dPt>
          <cat>
            <strRef>
              <f>'BIR FORM'!$D$16:$D$17</f>
              <strCache>
                <ptCount val="2"/>
                <pt idx="0">
                  <v xml:space="preserve">Progreso </v>
                </pt>
                <pt idx="1">
                  <v xml:space="preserve">Informacion restante </v>
                </pt>
              </strCache>
            </strRef>
          </cat>
          <val>
            <numRef>
              <f>'BIR FORM'!$J$16:$J$17</f>
              <numCache>
                <formatCode>0%</formatCode>
                <ptCount val="2"/>
                <pt idx="0">
                  <v>0</v>
                </pt>
                <pt idx="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90"/>
      </doughnut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/>
      <doughnutChart>
        <varyColors val="1"/>
        <ser>
          <idx val="0"/>
          <order val="0"/>
          <spPr>
            <a:ln xmlns:a="http://schemas.openxmlformats.org/drawingml/2006/main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005172"/>
              </a:solidFill>
              <a:ln xmlns:a="http://schemas.openxmlformats.org/drawingml/2006/main" w="114300">
                <a:solidFill>
                  <a:srgbClr val="005172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bg1">
                  <a:lumMod val="85000"/>
                </a:schemeClr>
              </a:solidFill>
              <a:ln xmlns:a="http://schemas.openxmlformats.org/drawingml/2006/main" w="79375">
                <a:solidFill>
                  <a:schemeClr val="bg1">
                    <a:lumMod val="85000"/>
                  </a:schemeClr>
                </a:solidFill>
                <a:prstDash val="solid"/>
              </a:ln>
            </spPr>
          </dPt>
          <cat>
            <strRef>
              <f>'BIR FORM'!$D$16:$D$17</f>
              <strCache>
                <ptCount val="2"/>
                <pt idx="0">
                  <v xml:space="preserve">Progreso </v>
                </pt>
                <pt idx="1">
                  <v xml:space="preserve">Informacion restante </v>
                </pt>
              </strCache>
            </strRef>
          </cat>
          <val>
            <numRef>
              <f>'BIR FORM'!$O$16:$O$17</f>
              <numCache>
                <formatCode>0%</formatCode>
                <ptCount val="2"/>
                <pt idx="0">
                  <v>0.9454545454545454</v>
                </pt>
                <pt idx="1">
                  <v>0.05454545454545456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90"/>
      </doughnut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3095B4"/>
              </a:solidFill>
              <a:ln xmlns:a="http://schemas.openxmlformats.org/drawingml/2006/main" w="114300">
                <a:solidFill>
                  <a:srgbClr val="3095B4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bg1">
                  <a:lumMod val="85000"/>
                </a:schemeClr>
              </a:solidFill>
              <a:ln xmlns:a="http://schemas.openxmlformats.org/drawingml/2006/main" w="88900">
                <a:solidFill>
                  <a:schemeClr val="bg1">
                    <a:lumMod val="85000"/>
                  </a:schemeClr>
                </a:solidFill>
                <a:prstDash val="solid"/>
              </a:ln>
            </spPr>
          </dPt>
          <cat>
            <strRef>
              <f>('BIR FORM'!$D$16,'BIR FORM'!$D$17)</f>
              <strCache>
                <ptCount val="2"/>
                <pt idx="0">
                  <v xml:space="preserve">Progreso </v>
                </pt>
                <pt idx="1">
                  <v xml:space="preserve">Informacion restante </v>
                </pt>
              </strCache>
            </strRef>
          </cat>
          <val>
            <numRef>
              <f>('BIR FORM'!$S$16,'BIR FORM'!$S$17)</f>
              <numCache>
                <formatCode>0%</formatCode>
                <ptCount val="2"/>
                <pt idx="0">
                  <v>0</v>
                </pt>
                <pt idx="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90"/>
      </doughnut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005172"/>
              </a:solidFill>
              <a:ln xmlns:a="http://schemas.openxmlformats.org/drawingml/2006/main" w="152400">
                <a:solidFill>
                  <a:srgbClr val="005172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bg1">
                  <a:lumMod val="85000"/>
                </a:schemeClr>
              </a:solidFill>
              <a:ln xmlns:a="http://schemas.openxmlformats.org/drawingml/2006/main" w="104775">
                <a:solidFill>
                  <a:schemeClr val="bg1">
                    <a:lumMod val="85000"/>
                  </a:schemeClr>
                </a:solidFill>
                <a:prstDash val="solid"/>
              </a:ln>
            </spPr>
          </dPt>
          <cat>
            <strRef>
              <f>('BIR FORM'!$D$16,'BIR FORM'!$D$17)</f>
              <strCache>
                <ptCount val="2"/>
                <pt idx="0">
                  <v xml:space="preserve">Progreso </v>
                </pt>
                <pt idx="1">
                  <v xml:space="preserve">Informacion restante </v>
                </pt>
              </strCache>
            </strRef>
          </cat>
          <val>
            <numRef>
              <f>('BIR FORM'!$W$16,'BIR FORM'!$W$17)</f>
              <numCache>
                <formatCode>0%</formatCode>
                <ptCount val="2"/>
                <pt idx="0">
                  <v>0</v>
                </pt>
                <pt idx="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90"/>
      </doughnut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image" Target="/xl/media/image2.png" Id="rId7"/><Relationship Type="http://schemas.openxmlformats.org/officeDocument/2006/relationships/image" Target="/xl/media/image3.jpeg" Id="rId8"/><Relationship Type="http://schemas.openxmlformats.org/officeDocument/2006/relationships/image" Target="/xl/media/image4.png" Id="rId9"/><Relationship Type="http://schemas.openxmlformats.org/officeDocument/2006/relationships/image" Target="/xl/media/image5.png" Id="rId10"/><Relationship Type="http://schemas.openxmlformats.org/officeDocument/2006/relationships/image" Target="/xl/media/image6.png" Id="rId11"/><Relationship Type="http://schemas.openxmlformats.org/officeDocument/2006/relationships/image" Target="/xl/media/image7.png" Id="rId1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</row>
      <rowOff>53340</rowOff>
    </from>
    <to>
      <col>0</col>
      <colOff>1900677</colOff>
      <row>5</row>
      <rowOff>58331</rowOff>
    </to>
    <pic>
      <nvPicPr>
        <cNvPr id="2" name="Picture 1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236220"/>
          <a:ext cx="1900677" cy="73651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3</col>
      <colOff>239234</colOff>
      <row>17</row>
      <rowOff>265815</rowOff>
    </from>
    <to>
      <col>3</col>
      <colOff>3156541</colOff>
      <row>25</row>
      <rowOff>155059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3</col>
      <colOff>3289428</colOff>
      <row>17</row>
      <rowOff>276889</rowOff>
    </from>
    <to>
      <col>7</col>
      <colOff>370230</colOff>
      <row>25</row>
      <rowOff>159784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7</col>
      <colOff>505532</colOff>
      <row>17</row>
      <rowOff>249675</rowOff>
    </from>
    <to>
      <col>12</col>
      <colOff>354091</colOff>
      <row>25</row>
      <rowOff>180048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12</col>
      <colOff>559918</colOff>
      <row>17</row>
      <rowOff>213969</rowOff>
    </from>
    <to>
      <col>17</col>
      <colOff>191776</colOff>
      <row>25</row>
      <rowOff>193960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17</col>
      <colOff>296982</colOff>
      <row>17</row>
      <rowOff>216501</rowOff>
    </from>
    <to>
      <col>22</col>
      <colOff>85440</colOff>
      <row>25</row>
      <rowOff>236069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22</col>
      <colOff>149679</colOff>
      <row>17</row>
      <rowOff>220889</rowOff>
    </from>
    <to>
      <col>26</col>
      <colOff>506639</colOff>
      <row>25</row>
      <rowOff>258536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 editAs="oneCell">
    <from>
      <col>3</col>
      <colOff>667027</colOff>
      <row>303</row>
      <rowOff>321563</rowOff>
    </from>
    <to>
      <col>6</col>
      <colOff>560719</colOff>
      <row>310</row>
      <rowOff>83982</rowOff>
    </to>
    <pic>
      <nvPicPr>
        <cNvPr id="22" name="Picture 2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2482380" y="108906563"/>
          <a:ext cx="4496135" cy="259750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239486</colOff>
      <row>2</row>
      <rowOff>186180</rowOff>
    </from>
    <to>
      <col>21</col>
      <colOff>508947</colOff>
      <row>2</row>
      <rowOff>986602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4151429" y="871980"/>
          <a:ext cx="2065604" cy="80042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338459</colOff>
      <row>4</row>
      <rowOff>8942</rowOff>
    </from>
    <to>
      <col>27</col>
      <colOff>3047</colOff>
      <row>5</row>
      <rowOff>218157</rowOff>
    </to>
    <pic>
      <nvPicPr>
        <cNvPr id="12" name="Picture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17538837" y="2024698"/>
          <a:ext cx="1492059" cy="5979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59261</colOff>
      <row>445</row>
      <rowOff>69492</rowOff>
    </from>
    <to>
      <col>3</col>
      <colOff>1152701</colOff>
      <row>447</row>
      <rowOff>10060</rowOff>
    </to>
    <pic>
      <nvPicPr>
        <cNvPr id="14" name="Picture 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1283904" y="167396528"/>
          <a:ext cx="1708936" cy="68479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20</col>
      <colOff>155213</colOff>
      <row>285</row>
      <rowOff>25588</rowOff>
    </from>
    <to>
      <col>28</col>
      <colOff>211345</colOff>
      <row>293</row>
      <rowOff>24086</rowOff>
    </to>
    <pic>
      <nvPicPr>
        <cNvPr id="16" name="Picture 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15451242" y="100990588"/>
          <a:ext cx="4897074" cy="36135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183288</colOff>
      <row>375</row>
      <rowOff>326463</rowOff>
    </from>
    <to>
      <col>26</col>
      <colOff>322544</colOff>
      <row>386</row>
      <rowOff>85648</rowOff>
    </to>
    <pic>
      <nvPicPr>
        <cNvPr id="18" name="Picture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14269082" y="135379757"/>
          <a:ext cx="4980197" cy="399138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ialdnb.com/es/quienes-somos/" TargetMode="External" Id="rId1"/><Relationship Type="http://schemas.openxmlformats.org/officeDocument/2006/relationships/hyperlink" Target="https://www.cialdnb.com/es/numero-d-u-n-s/" TargetMode="External" Id="rId2"/><Relationship Type="http://schemas.openxmlformats.org/officeDocument/2006/relationships/hyperlink" Target="https://www.cialdnb.com/es/politica-de-privacidad/" TargetMode="External" Id="rId3"/><Relationship Type="http://schemas.openxmlformats.org/officeDocument/2006/relationships/drawing" Target="/xl/drawings/drawing2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I42"/>
  <sheetViews>
    <sheetView showGridLines="0" tabSelected="1" topLeftCell="A22" workbookViewId="0">
      <selection activeCell="E29" sqref="E29"/>
    </sheetView>
  </sheetViews>
  <sheetFormatPr baseColWidth="10" defaultRowHeight="14.4"/>
  <cols>
    <col width="59.33203125" customWidth="1" min="1" max="1"/>
  </cols>
  <sheetData>
    <row r="7">
      <c r="B7" s="203" t="inlineStr">
        <is>
          <t>Ciudad Autónoma de Buenos Aires</t>
        </is>
      </c>
    </row>
    <row r="8">
      <c r="B8" s="651">
        <f>TODAY()</f>
        <v/>
      </c>
    </row>
    <row r="9">
      <c r="A9" s="208" t="n"/>
      <c r="B9" s="195" t="n"/>
      <c r="C9" s="205" t="n"/>
      <c r="E9" s="206" t="n"/>
      <c r="G9" s="206" t="n"/>
    </row>
    <row r="10">
      <c r="A10" s="197" t="n"/>
    </row>
    <row r="11">
      <c r="A11" s="208" t="inlineStr">
        <is>
          <t xml:space="preserve">De nuestra mayor consideración: </t>
        </is>
      </c>
    </row>
    <row r="12">
      <c r="A12" s="197" t="n"/>
    </row>
    <row r="13" ht="14.4" customHeight="1">
      <c r="A13" s="198" t="inlineStr">
        <is>
          <t>Por medio de la presente solicitamos tengan a bien facilitarnos la información que detallamos a continuación.</t>
        </is>
      </c>
      <c r="B13" s="198" t="n"/>
      <c r="C13" s="198" t="n"/>
      <c r="D13" s="198" t="n"/>
      <c r="E13" s="198" t="n"/>
      <c r="F13" s="198" t="n"/>
      <c r="G13" s="198" t="n"/>
      <c r="H13" s="198" t="n"/>
    </row>
    <row r="14" ht="14.4" customHeight="1">
      <c r="A14" s="198" t="inlineStr">
        <is>
          <t>De acuerdo con su estructura legal, algunos elementos pueden no ser necesarios.</t>
        </is>
      </c>
      <c r="B14" s="198" t="n"/>
      <c r="C14" s="198" t="n"/>
      <c r="D14" s="198" t="n"/>
      <c r="E14" s="198" t="n"/>
      <c r="F14" s="198" t="n"/>
      <c r="G14" s="198" t="n"/>
      <c r="H14" s="198" t="n"/>
    </row>
    <row r="16">
      <c r="A16" t="inlineStr">
        <is>
          <t>Número de Identificación Tributaria (CUIT, RUC, RUT)</t>
        </is>
      </c>
      <c r="B16" s="653" t="inlineStr">
        <is>
          <t>20-29486884-5</t>
        </is>
      </c>
    </row>
    <row r="17">
      <c r="A17" t="inlineStr">
        <is>
          <t>Razón social, dirección real, comercial y fiscal. Teléfonos, página web, mails</t>
        </is>
      </c>
      <c r="B17" s="653" t="inlineStr">
        <is>
          <t>LUIS GUSTAVO CHANFERONI; Bernardo Houssay 732 Dpto 27 M 59, Santiago del Estero (CP 4200), Santiago del Estero, Argentina; tel +5493854336246; https://bioenlace.io; info@bioenlace.io</t>
        </is>
      </c>
    </row>
    <row r="18">
      <c r="A18" t="inlineStr">
        <is>
          <t>Nombre de fantasía del negocio</t>
        </is>
      </c>
      <c r="B18" s="653" t="inlineStr">
        <is>
          <t>Bioenlace</t>
        </is>
      </c>
    </row>
    <row r="19">
      <c r="A19" t="inlineStr">
        <is>
          <t>Fecha de Constitución, Inscripción de la Sociedad, Capital Social, Cierre de balance, uso de firma</t>
        </is>
      </c>
      <c r="B19" s="653" t="inlineStr">
        <is>
          <t>Persona física monotributista. Sin sociedad. Adhesión Monotributo vigencia 01/08/2025 (F.184 trx 25/08/2025). Capital social: NA. Cierre de balance: NA. Uso de firma: el titular.</t>
        </is>
      </c>
    </row>
    <row r="20">
      <c r="A20" t="inlineStr">
        <is>
          <t>Detalle de actividades que desarrolla la empresa y fecha de inicio de las mismas</t>
        </is>
      </c>
      <c r="B20" s="653" t="inlineStr">
        <is>
          <t>Desarrollo y comercialización de software SaaS para salud (Bioenlace). Categoría Monotributo A Locaciones de Servicios. Inicio: 01/08/2025.</t>
        </is>
      </c>
    </row>
    <row r="21">
      <c r="A21" t="inlineStr">
        <is>
          <t>Nómina de Autoridades: Directorio y Sindicatura, Socios, Comisión Directiva, Consejo de Administración o Representantes Legales (DNI, cargos y fecha de designación)</t>
        </is>
      </c>
      <c r="B21" s="653" t="inlineStr">
        <is>
          <t>Luis Gustavo Chanferoni - Titular - CUIT 20-29486884-5 - desde inicio de actividad</t>
        </is>
      </c>
    </row>
    <row r="22">
      <c r="A22" t="inlineStr">
        <is>
          <t>Nómina de Accionistas o Socios (Participación CUIT/CUIL - Sede Legal)</t>
        </is>
      </c>
      <c r="B22" s="653" t="inlineStr">
        <is>
          <t>NA (persona fisica)</t>
        </is>
      </c>
    </row>
    <row r="23">
      <c r="A23" t="inlineStr">
        <is>
          <t>Gerentes Principales (Indicar cargos)</t>
        </is>
      </c>
      <c r="B23" s="653" t="inlineStr">
        <is>
          <t>Luis Gustavo Chanferoni - Titular</t>
        </is>
      </c>
    </row>
    <row r="24">
      <c r="A24" t="inlineStr">
        <is>
          <t>Cantidad de Personal ocupado</t>
        </is>
      </c>
      <c r="B24" s="653" t="inlineStr">
        <is>
          <t>1</t>
        </is>
      </c>
    </row>
    <row r="25">
      <c r="A25" t="inlineStr">
        <is>
          <t>Principales Proveedores (con teléfono)</t>
        </is>
      </c>
      <c r="B25" s="653" t="inlineStr">
        <is>
          <t>Google Cloud; Hostinger</t>
        </is>
      </c>
    </row>
    <row r="26">
      <c r="A26" t="inlineStr">
        <is>
          <t>Cantidad de Clientes (citar principales)</t>
        </is>
      </c>
      <c r="B26" s="653" t="inlineStr">
        <is>
          <t>Ministerio de Salud de Santiago del Estero</t>
        </is>
      </c>
    </row>
    <row r="27">
      <c r="A27" t="inlineStr">
        <is>
          <t>Referencias Bancarias (Indicar Banco)</t>
        </is>
      </c>
      <c r="B27" s="653" t="inlineStr">
        <is>
          <t>Banco de la Nación Argentina; CBU 0110499230049924833665</t>
        </is>
      </c>
    </row>
    <row r="28">
      <c r="A28" t="inlineStr">
        <is>
          <t>Importaciones y/o Exportaciones (Indicar países y productos)</t>
        </is>
      </c>
      <c r="B28" s="653" t="inlineStr">
        <is>
          <t>No realiza importaciones/exportaciones de mercaderias. Consume servicios cloud del exterior.</t>
        </is>
      </c>
    </row>
    <row r="29">
      <c r="A29" t="inlineStr">
        <is>
          <t>Principales marcas registradas - Representaciones (Razón Social y País)</t>
        </is>
      </c>
      <c r="B29" s="653" t="inlineStr">
        <is>
          <t>Bioenlace (marca comercial, Argentina)</t>
        </is>
      </c>
    </row>
    <row r="30">
      <c r="A30" t="inlineStr">
        <is>
          <t>Compañías de seguros contratadas (indicar riesgo)</t>
        </is>
      </c>
      <c r="B30" s="653" t="inlineStr">
        <is>
          <t>NA</t>
        </is>
      </c>
    </row>
    <row r="31">
      <c r="A31" t="inlineStr">
        <is>
          <t>Sedes Operativas (Indicar ubicación, destino, si son propiedad de la firma o alquiladas)</t>
        </is>
      </c>
      <c r="B31" s="653" t="inlineStr">
        <is>
          <t>Bernardo Houssay 732 Dpto 27 M 59, Santiago del Estero CP 4200; operativa = fiscal</t>
        </is>
      </c>
    </row>
    <row r="32">
      <c r="A32" t="inlineStr">
        <is>
          <t>Rodados/Equipos a nombre de la Sociedad (marca y modelo)</t>
        </is>
      </c>
      <c r="B32" s="653" t="inlineStr">
        <is>
          <t>NA</t>
        </is>
      </c>
    </row>
    <row r="33">
      <c r="A33" t="inlineStr">
        <is>
          <t>Finanzas:  Según corresponda enviar:  Ultimos 3 (tres) Balances Generales / Presupuesto / Manifestación de Bienes / Declaración de ganancias.  (Solicitamos enviar la copia por mail para permitirnos validar su autenticidad)</t>
        </is>
      </c>
      <c r="B33" s="653" t="inlineStr">
        <is>
          <t>Persona física monotributista: sin balances societarios. Adjuntar F.184 / constancia de monotributo y CUIT.</t>
        </is>
      </c>
    </row>
    <row r="34">
      <c r="A34" t="inlineStr">
        <is>
          <t>Ventas mensuales posteriores al Balance</t>
        </is>
      </c>
      <c r="B34" s="653" t="inlineStr">
        <is>
          <t>NA</t>
        </is>
      </c>
    </row>
    <row r="35">
      <c r="A35" t="inlineStr">
        <is>
          <t>Normas ISO (Adjuntar certificados)</t>
        </is>
      </c>
      <c r="B35" s="653" t="inlineStr">
        <is>
          <t>NA</t>
        </is>
      </c>
    </row>
    <row r="36">
      <c r="A36" t="inlineStr">
        <is>
          <t>Empresas vinculadas y/o controladas (razón social, CUIT, RUC o RUT, sede legal, y participación)</t>
        </is>
      </c>
      <c r="B36" s="653" t="inlineStr">
        <is>
          <t>NA</t>
        </is>
      </c>
    </row>
    <row r="37">
      <c r="A37" t="inlineStr">
        <is>
          <t>Sólo para UTEs: Participación de cada Sociedad en la UTE</t>
        </is>
      </c>
      <c r="B37" s="653" t="inlineStr">
        <is>
          <t>NA</t>
        </is>
      </c>
    </row>
    <row r="38">
      <c r="A38" t="inlineStr">
        <is>
          <t>Cualquier otra información que crean conveniente mencionar (Ej: Obras, proyectos, inversiones, etc.)</t>
        </is>
      </c>
      <c r="B38" s="653" t="inlineStr">
        <is>
          <t>Solicitud D-U-N-S para Google Play Console (apps de salud).</t>
        </is>
      </c>
      <c r="C38" s="200" t="n"/>
    </row>
    <row r="39" ht="15" customHeight="1" thickBot="1">
      <c r="A39" s="198" t="n"/>
      <c r="B39" s="199" t="n"/>
    </row>
    <row r="40" ht="43.8" customHeight="1" thickBot="1">
      <c r="A40" s="201" t="inlineStr">
        <is>
          <t xml:space="preserve">Para su mayor comodidad, puede completar la información solicitada en la siguiente hoja llamada BIR FORM.
</t>
        </is>
      </c>
      <c r="B40" s="199" t="n"/>
    </row>
    <row r="41">
      <c r="A41" s="198" t="n"/>
      <c r="B41" s="199" t="n"/>
    </row>
    <row r="42">
      <c r="A42" s="202" t="inlineStr">
        <is>
          <t>Agradecemos desde ya la atención que le sepa brindar a la presente, haciendo propicia la ocasión para saludarlos muy atentamente.</t>
        </is>
      </c>
    </row>
  </sheetData>
  <mergeCells count="7">
    <mergeCell ref="A42:I42"/>
    <mergeCell ref="B8:D8"/>
    <mergeCell ref="A11:H11"/>
    <mergeCell ref="C9:D9"/>
    <mergeCell ref="G9:H9"/>
    <mergeCell ref="E9:F9"/>
    <mergeCell ref="B7:D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AC448"/>
  <sheetViews>
    <sheetView showGridLines="0" topLeftCell="B1" zoomScale="70" zoomScaleNormal="70" workbookViewId="0">
      <selection activeCell="D4" sqref="D4:S4"/>
    </sheetView>
  </sheetViews>
  <sheetFormatPr baseColWidth="10" defaultColWidth="8.6640625" defaultRowHeight="26.4"/>
  <cols>
    <col width="8.6640625" customWidth="1" style="1" min="1" max="1"/>
    <col width="8.6640625" customWidth="1" style="185" min="2" max="2"/>
    <col width="8.6640625" customWidth="1" style="190" min="3" max="3"/>
    <col width="48.6640625" customWidth="1" style="5" min="4" max="4"/>
    <col width="8.6640625" customWidth="1" style="1" min="5" max="6"/>
    <col width="14.44140625" bestFit="1" customWidth="1" style="1" min="7" max="7"/>
    <col width="8.6640625" customWidth="1" style="1" min="8" max="16384"/>
  </cols>
  <sheetData>
    <row r="1" ht="27" customHeight="1" thickBot="1">
      <c r="D1" s="1" t="n"/>
      <c r="E1" s="5" t="n"/>
    </row>
    <row r="2">
      <c r="B2" s="186" t="n"/>
      <c r="C2" s="191" t="n"/>
      <c r="D2" s="6" t="n"/>
      <c r="E2" s="7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8" t="n"/>
    </row>
    <row r="3" ht="79.5" customHeight="1">
      <c r="B3" s="187" t="n"/>
      <c r="D3" s="358" t="inlineStr">
        <is>
          <t>Registro D-U-N-S: Formulario para información comercial.</t>
        </is>
      </c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  <c r="AA3" s="29" t="n"/>
      <c r="AB3" s="358" t="n"/>
      <c r="AC3" s="9" t="n"/>
    </row>
    <row r="4" ht="45" customHeight="1">
      <c r="B4" s="187" t="n"/>
      <c r="D4" s="359" t="inlineStr">
        <is>
          <t xml:space="preserve">      Confianza y transparencia para negocios nacionales e internacionales</t>
        </is>
      </c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  <c r="Q4" s="29" t="n"/>
      <c r="R4" s="29" t="n"/>
      <c r="S4" s="29" t="n"/>
      <c r="AC4" s="9" t="n"/>
    </row>
    <row r="5">
      <c r="B5" s="187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AC5" s="9" t="n"/>
    </row>
    <row r="6" ht="24" customHeight="1">
      <c r="B6" s="187" t="n"/>
      <c r="D6" s="11" t="inlineStr">
        <is>
          <t>Quiénes somos</t>
        </is>
      </c>
      <c r="E6" s="361" t="inlineStr">
        <is>
          <t>Número D-U-N-S</t>
        </is>
      </c>
      <c r="F6" s="29" t="n"/>
      <c r="G6" s="29" t="n"/>
      <c r="H6" s="360" t="inlineStr">
        <is>
          <t>Política de privacidad</t>
        </is>
      </c>
      <c r="I6" s="29" t="n"/>
      <c r="J6" s="29" t="n"/>
      <c r="K6" s="12" t="n"/>
      <c r="L6" s="10" t="n"/>
      <c r="M6" s="10" t="n"/>
      <c r="N6" s="10" t="n"/>
      <c r="O6" s="10" t="n"/>
      <c r="P6" s="10" t="n"/>
      <c r="Q6" s="10" t="n"/>
      <c r="AC6" s="9" t="n"/>
    </row>
    <row r="7" ht="24" customHeight="1" thickBot="1">
      <c r="B7" s="187" t="n"/>
      <c r="D7" s="11" t="n"/>
      <c r="E7" s="361" t="n"/>
      <c r="F7" s="361" t="n"/>
      <c r="G7" s="361" t="n"/>
      <c r="H7" s="360" t="n"/>
      <c r="I7" s="360" t="n"/>
      <c r="J7" s="360" t="n"/>
      <c r="K7" s="12" t="n"/>
      <c r="L7" s="10" t="n"/>
      <c r="M7" s="10" t="n"/>
      <c r="N7" s="10" t="n"/>
      <c r="O7" s="10" t="n"/>
      <c r="P7" s="10" t="n"/>
      <c r="Q7" s="10" t="n"/>
      <c r="AC7" s="9" t="n"/>
    </row>
    <row r="8" ht="33.6" customHeight="1" thickBot="1">
      <c r="B8" s="187" t="n"/>
      <c r="D8" s="654" t="inlineStr">
        <is>
          <t>INDICACIONES PARA EL LLENADO DEL FORMULARIO</t>
        </is>
      </c>
      <c r="E8" s="655" t="n"/>
      <c r="F8" s="655" t="n"/>
      <c r="G8" s="655" t="n"/>
      <c r="H8" s="655" t="n"/>
      <c r="I8" s="655" t="n"/>
      <c r="J8" s="655" t="n"/>
      <c r="K8" s="655" t="n"/>
      <c r="L8" s="655" t="n"/>
      <c r="M8" s="655" t="n"/>
      <c r="N8" s="655" t="n"/>
      <c r="O8" s="655" t="n"/>
      <c r="P8" s="655" t="n"/>
      <c r="Q8" s="655" t="n"/>
      <c r="R8" s="655" t="n"/>
      <c r="S8" s="655" t="n"/>
      <c r="T8" s="655" t="n"/>
      <c r="U8" s="655" t="n"/>
      <c r="V8" s="655" t="n"/>
      <c r="W8" s="655" t="n"/>
      <c r="X8" s="655" t="n"/>
      <c r="Y8" s="655" t="n"/>
      <c r="Z8" s="655" t="n"/>
      <c r="AA8" s="656" t="n"/>
      <c r="AC8" s="9" t="n"/>
    </row>
    <row r="9" ht="24" customHeight="1">
      <c r="B9" s="187" t="n"/>
      <c r="D9" s="657" t="inlineStr">
        <is>
          <t>Le sugerimos llenar el formulario de manera consecutiva. Ciertas preguntas se despliegan o se ocultan según las respuestas proporcionadas para asegurar que solo se agregue la información aplicable para su empresa (marcadas con un * ). En algunos apartados, encontrará secciones con el título "NA", no es necesario agregar información a la sección; puede hacer caso omiso y continuar con el llenado del formulario. Por otro lado, si alguna pregunta no aplica para su empresa, registre "NA", de no hacerlo su progreso no será registrado correctamente.</t>
        </is>
      </c>
      <c r="E9" s="658" t="n"/>
      <c r="F9" s="658" t="n"/>
      <c r="G9" s="658" t="n"/>
      <c r="H9" s="658" t="n"/>
      <c r="I9" s="658" t="n"/>
      <c r="J9" s="658" t="n"/>
      <c r="K9" s="658" t="n"/>
      <c r="L9" s="658" t="n"/>
      <c r="M9" s="658" t="n"/>
      <c r="N9" s="658" t="n"/>
      <c r="O9" s="658" t="n"/>
      <c r="P9" s="658" t="n"/>
      <c r="Q9" s="658" t="n"/>
      <c r="R9" s="658" t="n"/>
      <c r="S9" s="658" t="n"/>
      <c r="T9" s="658" t="n"/>
      <c r="U9" s="658" t="n"/>
      <c r="V9" s="658" t="n"/>
      <c r="W9" s="658" t="n"/>
      <c r="X9" s="658" t="n"/>
      <c r="Y9" s="658" t="n"/>
      <c r="Z9" s="658" t="n"/>
      <c r="AA9" s="659" t="n"/>
      <c r="AC9" s="9" t="n"/>
    </row>
    <row r="10" ht="24" customHeight="1">
      <c r="A10" s="326" t="n"/>
      <c r="B10" s="187" t="n"/>
      <c r="D10" s="660" t="n"/>
      <c r="E10" s="29" t="n"/>
      <c r="F10" s="29" t="n"/>
      <c r="G10" s="29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29" t="n"/>
      <c r="R10" s="29" t="n"/>
      <c r="S10" s="29" t="n"/>
      <c r="T10" s="29" t="n"/>
      <c r="U10" s="29" t="n"/>
      <c r="V10" s="29" t="n"/>
      <c r="W10" s="29" t="n"/>
      <c r="X10" s="29" t="n"/>
      <c r="Y10" s="29" t="n"/>
      <c r="Z10" s="29" t="n"/>
      <c r="AA10" s="661" t="n"/>
      <c r="AC10" s="9" t="n"/>
    </row>
    <row r="11" ht="24" customHeight="1" thickBot="1">
      <c r="B11" s="187" t="n"/>
      <c r="D11" s="662" t="n"/>
      <c r="E11" s="663" t="n"/>
      <c r="F11" s="663" t="n"/>
      <c r="G11" s="663" t="n"/>
      <c r="H11" s="663" t="n"/>
      <c r="I11" s="663" t="n"/>
      <c r="J11" s="663" t="n"/>
      <c r="K11" s="663" t="n"/>
      <c r="L11" s="663" t="n"/>
      <c r="M11" s="663" t="n"/>
      <c r="N11" s="663" t="n"/>
      <c r="O11" s="663" t="n"/>
      <c r="P11" s="663" t="n"/>
      <c r="Q11" s="663" t="n"/>
      <c r="R11" s="663" t="n"/>
      <c r="S11" s="663" t="n"/>
      <c r="T11" s="663" t="n"/>
      <c r="U11" s="663" t="n"/>
      <c r="V11" s="663" t="n"/>
      <c r="W11" s="663" t="n"/>
      <c r="X11" s="663" t="n"/>
      <c r="Y11" s="663" t="n"/>
      <c r="Z11" s="663" t="n"/>
      <c r="AA11" s="664" t="n"/>
      <c r="AC11" s="9" t="n"/>
    </row>
    <row r="12" ht="24" customHeight="1" thickBot="1">
      <c r="B12" s="187" t="n"/>
      <c r="D12" s="11" t="n"/>
      <c r="E12" s="361" t="n"/>
      <c r="F12" s="361" t="n"/>
      <c r="G12" s="361" t="n"/>
      <c r="H12" s="360" t="n"/>
      <c r="I12" s="360" t="n"/>
      <c r="J12" s="360" t="n"/>
      <c r="K12" s="12" t="n"/>
      <c r="L12" s="10" t="n"/>
      <c r="M12" s="10" t="n"/>
      <c r="N12" s="10" t="n"/>
      <c r="O12" s="10" t="n"/>
      <c r="P12" s="10" t="n"/>
      <c r="Q12" s="10" t="n"/>
      <c r="AC12" s="9" t="n"/>
    </row>
    <row r="13" ht="45.9" customHeight="1" thickBot="1">
      <c r="B13" s="187" t="n"/>
      <c r="D13" s="654" t="inlineStr">
        <is>
          <t>RESUMEN DEL LLENADO DE INFORMACIÓN</t>
        </is>
      </c>
      <c r="E13" s="655" t="n"/>
      <c r="F13" s="655" t="n"/>
      <c r="G13" s="655" t="n"/>
      <c r="H13" s="655" t="n"/>
      <c r="I13" s="655" t="n"/>
      <c r="J13" s="655" t="n"/>
      <c r="K13" s="655" t="n"/>
      <c r="L13" s="655" t="n"/>
      <c r="M13" s="655" t="n"/>
      <c r="N13" s="655" t="n"/>
      <c r="O13" s="655" t="n"/>
      <c r="P13" s="655" t="n"/>
      <c r="Q13" s="655" t="n"/>
      <c r="R13" s="655" t="n"/>
      <c r="S13" s="655" t="n"/>
      <c r="T13" s="655" t="n"/>
      <c r="U13" s="655" t="n"/>
      <c r="V13" s="655" t="n"/>
      <c r="W13" s="655" t="n"/>
      <c r="X13" s="655" t="n"/>
      <c r="Y13" s="655" t="n"/>
      <c r="Z13" s="655" t="n"/>
      <c r="AA13" s="656" t="n"/>
      <c r="AB13" s="401" t="n"/>
      <c r="AC13" s="9" t="n"/>
    </row>
    <row r="14" ht="24" customHeight="1">
      <c r="B14" s="187" t="n"/>
      <c r="D14" s="165" t="n"/>
      <c r="E14" s="166" t="n"/>
      <c r="F14" s="166" t="n"/>
      <c r="G14" s="166" t="n"/>
      <c r="H14" s="166" t="n"/>
      <c r="I14" s="166" t="n"/>
      <c r="J14" s="166" t="n"/>
      <c r="K14" s="166" t="n"/>
      <c r="L14" s="166" t="n"/>
      <c r="M14" s="166" t="n"/>
      <c r="N14" s="166" t="n"/>
      <c r="O14" s="166" t="n"/>
      <c r="P14" s="166" t="n"/>
      <c r="Q14" s="166" t="n"/>
      <c r="R14" s="166" t="n"/>
      <c r="S14" s="166" t="n"/>
      <c r="T14" s="166" t="n"/>
      <c r="U14" s="166" t="n"/>
      <c r="V14" s="166" t="n"/>
      <c r="W14" s="166" t="n"/>
      <c r="X14" s="166" t="n"/>
      <c r="Y14" s="166" t="n"/>
      <c r="Z14" s="166" t="n"/>
      <c r="AA14" s="167" t="n"/>
      <c r="AB14" s="624" t="n"/>
      <c r="AC14" s="9" t="n"/>
    </row>
    <row r="15" ht="24" customHeight="1">
      <c r="B15" s="187" t="n"/>
      <c r="D15" s="168" t="inlineStr">
        <is>
          <t>INFORMACIÓN DE CONTACTO</t>
        </is>
      </c>
      <c r="E15" s="609" t="inlineStr">
        <is>
          <t xml:space="preserve">DATOS GENERALES </t>
        </is>
      </c>
      <c r="I15" s="609" t="inlineStr">
        <is>
          <t>DATOS DE CONSTITUCIÓN</t>
        </is>
      </c>
      <c r="N15" s="609" t="inlineStr">
        <is>
          <t xml:space="preserve">CONTROL </t>
        </is>
      </c>
      <c r="R15" s="609" t="inlineStr">
        <is>
          <t>OPERACIONES</t>
        </is>
      </c>
      <c r="W15" s="610" t="inlineStr">
        <is>
          <t>FINANZAS</t>
        </is>
      </c>
      <c r="AA15" s="665" t="n"/>
      <c r="AB15" s="81" t="n"/>
      <c r="AC15" s="9" t="n"/>
    </row>
    <row r="16" ht="0.6" customHeight="1">
      <c r="B16" s="187" t="n"/>
      <c r="D16" s="14" t="inlineStr">
        <is>
          <t xml:space="preserve">Progreso </t>
        </is>
      </c>
      <c r="E16" s="15">
        <f>B31</f>
        <v/>
      </c>
      <c r="F16" s="16" t="inlineStr">
        <is>
          <t xml:space="preserve">Progreso </t>
        </is>
      </c>
      <c r="G16" s="17">
        <f>IF(SUM(B44:B49)&lt;1,0,B43)</f>
        <v/>
      </c>
      <c r="H16" s="18" t="n"/>
      <c r="I16" s="19" t="n"/>
      <c r="J16" s="17">
        <f>IF(SUM(B103:B104)&lt;1,0,B101)</f>
        <v/>
      </c>
      <c r="K16" s="19" t="n"/>
      <c r="L16" s="18" t="n"/>
      <c r="M16" s="18" t="n"/>
      <c r="N16" s="18" t="n"/>
      <c r="O16" s="17">
        <f>IF(SUM(B162,B163,B166,B169)&lt; 2,0,B161)</f>
        <v/>
      </c>
      <c r="P16" s="19" t="n"/>
      <c r="Q16" s="19" t="n"/>
      <c r="R16" s="19" t="n"/>
      <c r="S16" s="17">
        <f>IF(SUM(B230:B336)&lt;=14,0,B229)</f>
        <v/>
      </c>
      <c r="T16" s="19" t="n"/>
      <c r="U16" s="19" t="n"/>
      <c r="V16" s="19" t="n"/>
      <c r="W16" s="17">
        <f>B338</f>
        <v/>
      </c>
      <c r="X16" s="19" t="n"/>
      <c r="Y16" s="19" t="n"/>
      <c r="Z16" s="19" t="n"/>
      <c r="AA16" s="13" t="n"/>
      <c r="AB16" s="624" t="n"/>
      <c r="AC16" s="9" t="n"/>
    </row>
    <row r="17" ht="24" customHeight="1">
      <c r="B17" s="187" t="n"/>
      <c r="D17" s="20" t="inlineStr">
        <is>
          <t xml:space="preserve">Informacion restante </t>
        </is>
      </c>
      <c r="E17" s="15">
        <f>1-E16</f>
        <v/>
      </c>
      <c r="F17" s="21" t="inlineStr">
        <is>
          <t xml:space="preserve">Informacion restante </t>
        </is>
      </c>
      <c r="G17" s="17">
        <f>1-G16</f>
        <v/>
      </c>
      <c r="H17" s="22" t="n"/>
      <c r="I17" s="22" t="n"/>
      <c r="J17" s="23">
        <f>1-J16</f>
        <v/>
      </c>
      <c r="K17" s="18" t="n"/>
      <c r="L17" s="18" t="n"/>
      <c r="M17" s="18" t="n"/>
      <c r="N17" s="18" t="n"/>
      <c r="O17" s="24">
        <f>1-O16</f>
        <v/>
      </c>
      <c r="P17" s="25" t="n"/>
      <c r="Q17" s="25" t="n"/>
      <c r="R17" s="25" t="n"/>
      <c r="S17" s="24">
        <f>1-S16</f>
        <v/>
      </c>
      <c r="T17" s="25" t="n"/>
      <c r="U17" s="25" t="n"/>
      <c r="V17" s="25" t="n"/>
      <c r="W17" s="24">
        <f>1-W16</f>
        <v/>
      </c>
      <c r="X17" s="25" t="n"/>
      <c r="Y17" s="25" t="n"/>
      <c r="Z17" s="25" t="n"/>
      <c r="AA17" s="13" t="n"/>
      <c r="AB17" s="624" t="n"/>
      <c r="AC17" s="9" t="n"/>
    </row>
    <row r="18" ht="24" customHeight="1">
      <c r="B18" s="187" t="n"/>
      <c r="D18" s="26" t="n"/>
      <c r="E18" s="18" t="n"/>
      <c r="F18" s="22" t="n"/>
      <c r="G18" s="22" t="n"/>
      <c r="H18" s="22" t="n"/>
      <c r="I18" s="22" t="n"/>
      <c r="J18" s="27" t="n"/>
      <c r="K18" s="18" t="n"/>
      <c r="L18" s="18" t="n"/>
      <c r="M18" s="18" t="n"/>
      <c r="N18" s="18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13" t="n"/>
      <c r="AB18" s="624" t="n"/>
      <c r="AC18" s="9" t="n"/>
    </row>
    <row r="19" ht="24" customHeight="1">
      <c r="B19" s="187" t="n"/>
      <c r="D19" s="28" t="n"/>
      <c r="F19" s="29" t="n"/>
      <c r="G19" s="29" t="n"/>
      <c r="H19" s="29" t="n"/>
      <c r="I19" s="29" t="n"/>
      <c r="J19" s="30" t="n"/>
      <c r="O19" s="624" t="n"/>
      <c r="P19" s="624" t="n"/>
      <c r="Q19" s="624" t="n"/>
      <c r="R19" s="624" t="n"/>
      <c r="S19" s="624" t="n"/>
      <c r="T19" s="624" t="n"/>
      <c r="U19" s="624" t="n"/>
      <c r="V19" s="624" t="n"/>
      <c r="W19" s="624" t="n"/>
      <c r="X19" s="624" t="n"/>
      <c r="Y19" s="624" t="n"/>
      <c r="Z19" s="624" t="n"/>
      <c r="AA19" s="13" t="n"/>
      <c r="AB19" s="624" t="n"/>
      <c r="AC19" s="9" t="n"/>
    </row>
    <row r="20" ht="24" customHeight="1">
      <c r="B20" s="187" t="n"/>
      <c r="D20" s="28" t="n"/>
      <c r="F20" s="29" t="n"/>
      <c r="G20" s="29" t="n"/>
      <c r="H20" s="29" t="n"/>
      <c r="I20" s="29" t="n"/>
      <c r="J20" s="30" t="n"/>
      <c r="O20" s="624" t="n"/>
      <c r="P20" s="624" t="n"/>
      <c r="Q20" s="624" t="n"/>
      <c r="R20" s="624" t="n"/>
      <c r="S20" s="624" t="n"/>
      <c r="T20" s="624" t="n"/>
      <c r="U20" s="624" t="n"/>
      <c r="V20" s="624" t="n"/>
      <c r="W20" s="624" t="n"/>
      <c r="X20" s="624" t="n"/>
      <c r="Y20" s="624" t="n"/>
      <c r="Z20" s="624" t="n"/>
      <c r="AA20" s="13" t="n"/>
      <c r="AB20" s="624" t="n"/>
      <c r="AC20" s="9" t="n"/>
    </row>
    <row r="21" ht="24" customHeight="1">
      <c r="B21" s="187" t="n"/>
      <c r="D21" s="4" t="n"/>
      <c r="E21" s="624" t="n"/>
      <c r="F21" s="624" t="n"/>
      <c r="G21" s="624" t="n"/>
      <c r="H21" s="624" t="n"/>
      <c r="I21" s="624" t="n"/>
      <c r="J21" s="624" t="n"/>
      <c r="K21" s="624" t="n"/>
      <c r="L21" s="624" t="n"/>
      <c r="M21" s="624" t="n"/>
      <c r="N21" s="624" t="n"/>
      <c r="O21" s="624" t="n"/>
      <c r="P21" s="624" t="n"/>
      <c r="Q21" s="624" t="n"/>
      <c r="R21" s="624" t="n"/>
      <c r="S21" s="624" t="n"/>
      <c r="T21" s="624" t="n"/>
      <c r="U21" s="624" t="n"/>
      <c r="V21" s="624" t="n"/>
      <c r="W21" s="624" t="n"/>
      <c r="X21" s="624" t="n"/>
      <c r="Y21" s="624" t="n"/>
      <c r="Z21" s="624" t="n"/>
      <c r="AA21" s="13" t="n"/>
      <c r="AB21" s="624" t="n"/>
      <c r="AC21" s="9" t="n"/>
    </row>
    <row r="22" ht="24" customHeight="1">
      <c r="B22" s="187" t="n"/>
      <c r="D22" s="4" t="n"/>
      <c r="E22" s="624" t="n"/>
      <c r="F22" s="624" t="n"/>
      <c r="G22" s="624" t="n"/>
      <c r="H22" s="624" t="n"/>
      <c r="I22" s="624" t="n"/>
      <c r="J22" s="624" t="n"/>
      <c r="K22" s="624" t="n"/>
      <c r="L22" s="624" t="n"/>
      <c r="M22" s="624" t="n"/>
      <c r="N22" s="624" t="n"/>
      <c r="O22" s="624" t="n"/>
      <c r="P22" s="624" t="n"/>
      <c r="Q22" s="624" t="n"/>
      <c r="R22" s="624" t="n"/>
      <c r="S22" s="624" t="n"/>
      <c r="T22" s="624" t="n"/>
      <c r="U22" s="624" t="n"/>
      <c r="V22" s="624" t="n"/>
      <c r="W22" s="624" t="n"/>
      <c r="X22" s="624" t="n"/>
      <c r="Y22" s="624" t="n"/>
      <c r="Z22" s="624" t="n"/>
      <c r="AA22" s="13" t="n"/>
      <c r="AB22" s="624" t="n"/>
      <c r="AC22" s="9" t="n"/>
    </row>
    <row r="23" ht="24" customHeight="1">
      <c r="B23" s="187" t="n"/>
      <c r="D23" s="4" t="n"/>
      <c r="E23" s="624" t="n"/>
      <c r="F23" s="624" t="n"/>
      <c r="G23" s="624" t="n"/>
      <c r="H23" s="624" t="n"/>
      <c r="I23" s="624" t="n"/>
      <c r="J23" s="624" t="n"/>
      <c r="K23" s="624" t="n"/>
      <c r="L23" s="624" t="n"/>
      <c r="M23" s="624" t="n"/>
      <c r="N23" s="624" t="n"/>
      <c r="O23" s="624" t="n"/>
      <c r="P23" s="624" t="n"/>
      <c r="Q23" s="624" t="n"/>
      <c r="R23" s="624" t="n"/>
      <c r="S23" s="624" t="n"/>
      <c r="T23" s="624" t="n"/>
      <c r="U23" s="624" t="n"/>
      <c r="V23" s="624" t="n"/>
      <c r="W23" s="624" t="n"/>
      <c r="X23" s="624" t="n"/>
      <c r="Y23" s="624" t="n"/>
      <c r="Z23" s="624" t="n"/>
      <c r="AA23" s="13" t="n"/>
      <c r="AB23" s="624" t="n"/>
      <c r="AC23" s="9" t="n"/>
    </row>
    <row r="24" ht="24" customHeight="1">
      <c r="B24" s="187" t="n"/>
      <c r="D24" s="4" t="n"/>
      <c r="E24" s="624" t="n"/>
      <c r="F24" s="624" t="n"/>
      <c r="G24" s="624" t="n"/>
      <c r="H24" s="624" t="n"/>
      <c r="I24" s="624" t="n"/>
      <c r="J24" s="624" t="n"/>
      <c r="K24" s="624" t="n"/>
      <c r="L24" s="624" t="n"/>
      <c r="M24" s="624" t="n"/>
      <c r="N24" s="624" t="n"/>
      <c r="O24" s="624" t="n"/>
      <c r="P24" s="624" t="n"/>
      <c r="Q24" s="624" t="n"/>
      <c r="R24" s="624" t="n"/>
      <c r="S24" s="624" t="n"/>
      <c r="T24" s="624" t="n"/>
      <c r="U24" s="624" t="n"/>
      <c r="V24" s="624" t="n"/>
      <c r="W24" s="624" t="n"/>
      <c r="X24" s="624" t="n"/>
      <c r="Y24" s="624" t="n"/>
      <c r="Z24" s="624" t="n"/>
      <c r="AA24" s="13" t="n"/>
      <c r="AB24" s="624" t="n"/>
      <c r="AC24" s="9" t="n"/>
    </row>
    <row r="25" ht="24" customHeight="1">
      <c r="B25" s="187" t="n"/>
      <c r="D25" s="4" t="n"/>
      <c r="E25" s="624" t="n"/>
      <c r="F25" s="624" t="n"/>
      <c r="G25" s="624" t="n"/>
      <c r="H25" s="624" t="n"/>
      <c r="I25" s="624" t="n"/>
      <c r="J25" s="624" t="n"/>
      <c r="K25" s="624" t="n"/>
      <c r="L25" s="624" t="n"/>
      <c r="M25" s="624" t="n"/>
      <c r="N25" s="624" t="n"/>
      <c r="O25" s="624" t="n"/>
      <c r="P25" s="624" t="n"/>
      <c r="Q25" s="624" t="n"/>
      <c r="R25" s="624" t="n"/>
      <c r="S25" s="624" t="n"/>
      <c r="T25" s="624" t="n"/>
      <c r="U25" s="624" t="n"/>
      <c r="V25" s="624" t="n"/>
      <c r="W25" s="624" t="n"/>
      <c r="X25" s="624" t="n"/>
      <c r="Y25" s="624" t="n"/>
      <c r="Z25" s="624" t="n"/>
      <c r="AA25" s="13" t="n"/>
      <c r="AB25" s="624" t="n"/>
      <c r="AC25" s="9" t="n"/>
    </row>
    <row r="26" ht="24" customHeight="1">
      <c r="B26" s="187" t="n"/>
      <c r="D26" s="4" t="n"/>
      <c r="E26" s="624" t="n"/>
      <c r="F26" s="624" t="n"/>
      <c r="G26" s="624" t="n"/>
      <c r="H26" s="624" t="n"/>
      <c r="I26" s="624" t="n"/>
      <c r="J26" s="624" t="n"/>
      <c r="K26" s="624" t="n"/>
      <c r="L26" s="624" t="n"/>
      <c r="M26" s="624" t="n"/>
      <c r="N26" s="624" t="n"/>
      <c r="O26" s="624" t="n"/>
      <c r="P26" s="624" t="n"/>
      <c r="Q26" s="624" t="n"/>
      <c r="R26" s="624" t="n"/>
      <c r="S26" s="624" t="n"/>
      <c r="T26" s="624" t="n"/>
      <c r="U26" s="624" t="n"/>
      <c r="V26" s="624" t="n"/>
      <c r="W26" s="624" t="n"/>
      <c r="X26" s="624" t="n"/>
      <c r="Y26" s="624" t="n"/>
      <c r="Z26" s="624" t="n"/>
      <c r="AA26" s="13" t="n"/>
      <c r="AB26" s="624" t="n"/>
      <c r="AC26" s="9" t="n"/>
    </row>
    <row r="27" ht="24" customHeight="1">
      <c r="B27" s="187" t="n"/>
      <c r="D27" s="4" t="n"/>
      <c r="E27" s="624" t="n"/>
      <c r="F27" s="624" t="n"/>
      <c r="G27" s="624" t="n"/>
      <c r="H27" s="624" t="n"/>
      <c r="I27" s="624" t="n"/>
      <c r="J27" s="624" t="n"/>
      <c r="K27" s="624" t="n"/>
      <c r="L27" s="624" t="n"/>
      <c r="M27" s="624" t="n"/>
      <c r="N27" s="624" t="n"/>
      <c r="O27" s="624" t="n"/>
      <c r="P27" s="624" t="n"/>
      <c r="Q27" s="624" t="n"/>
      <c r="R27" s="624" t="n"/>
      <c r="S27" s="624" t="n"/>
      <c r="T27" s="624" t="n"/>
      <c r="U27" s="624" t="n"/>
      <c r="V27" s="624" t="n"/>
      <c r="W27" s="624" t="n"/>
      <c r="X27" s="624" t="n"/>
      <c r="Y27" s="624" t="n"/>
      <c r="Z27" s="624" t="n"/>
      <c r="AA27" s="13" t="n"/>
      <c r="AB27" s="624" t="n"/>
      <c r="AC27" s="9" t="n"/>
    </row>
    <row r="28" ht="24" customHeight="1" thickBot="1">
      <c r="B28" s="187" t="n"/>
      <c r="D28" s="3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2" t="n"/>
      <c r="AB28" s="624" t="n"/>
      <c r="AC28" s="9" t="n"/>
    </row>
    <row r="29" ht="24" customHeight="1">
      <c r="B29" s="187" t="n"/>
      <c r="D29" s="11" t="n"/>
      <c r="E29" s="361" t="n"/>
      <c r="F29" s="361" t="n"/>
      <c r="G29" s="361" t="n"/>
      <c r="H29" s="360" t="n"/>
      <c r="I29" s="360" t="n"/>
      <c r="J29" s="360" t="n"/>
      <c r="K29" s="12" t="n"/>
      <c r="L29" s="10" t="n"/>
      <c r="M29" s="10" t="n"/>
      <c r="N29" s="10" t="n"/>
      <c r="O29" s="10" t="n"/>
      <c r="P29" s="10" t="n"/>
      <c r="Q29" s="10" t="n"/>
      <c r="AC29" s="9" t="n"/>
    </row>
    <row r="30" ht="27" customHeight="1" thickBot="1">
      <c r="B30" s="187" t="n"/>
      <c r="AC30" s="9" t="n"/>
    </row>
    <row r="31" ht="39" customHeight="1" thickBot="1">
      <c r="B31" s="188">
        <f>SUM(B32:B39)/COUNT(B32:B39)</f>
        <v/>
      </c>
      <c r="C31" s="192" t="n"/>
      <c r="D31" s="519" t="inlineStr">
        <is>
          <t xml:space="preserve">DATOS DE QUIEN PROPORCIONA LA INFORMACIÓN </t>
        </is>
      </c>
      <c r="E31" s="655" t="n"/>
      <c r="F31" s="655" t="n"/>
      <c r="G31" s="655" t="n"/>
      <c r="H31" s="655" t="n"/>
      <c r="I31" s="655" t="n"/>
      <c r="J31" s="655" t="n"/>
      <c r="K31" s="655" t="n"/>
      <c r="L31" s="655" t="n"/>
      <c r="M31" s="655" t="n"/>
      <c r="N31" s="655" t="n"/>
      <c r="O31" s="655" t="n"/>
      <c r="P31" s="655" t="n"/>
      <c r="Q31" s="655" t="n"/>
      <c r="R31" s="655" t="n"/>
      <c r="S31" s="655" t="n"/>
      <c r="T31" s="655" t="n"/>
      <c r="U31" s="655" t="n"/>
      <c r="V31" s="655" t="n"/>
      <c r="W31" s="655" t="n"/>
      <c r="X31" s="655" t="n"/>
      <c r="Y31" s="655" t="n"/>
      <c r="Z31" s="655" t="n"/>
      <c r="AA31" s="666" t="n"/>
      <c r="AB31" s="401" t="n"/>
      <c r="AC31" s="9" t="n"/>
    </row>
    <row r="32" ht="26.4" customHeight="1">
      <c r="B32" s="187">
        <f>IF(LEN(E32)&gt;1,1,0)</f>
        <v/>
      </c>
      <c r="C32" s="190">
        <f>IF(B32=0,"*","")</f>
        <v/>
      </c>
      <c r="D32" s="33" t="inlineStr">
        <is>
          <t>Nombre:</t>
        </is>
      </c>
      <c r="E32" s="667" t="inlineStr">
        <is>
          <t>Luis Gustavo Chanferoni</t>
        </is>
      </c>
      <c r="F32" s="668" t="n"/>
      <c r="G32" s="668" t="n"/>
      <c r="H32" s="668" t="n"/>
      <c r="I32" s="668" t="n"/>
      <c r="J32" s="668" t="n"/>
      <c r="K32" s="668" t="n"/>
      <c r="L32" s="668" t="n"/>
      <c r="M32" s="668" t="n"/>
      <c r="N32" s="668" t="n"/>
      <c r="O32" s="668" t="n"/>
      <c r="P32" s="668" t="n"/>
      <c r="Q32" s="668" t="n"/>
      <c r="R32" s="668" t="n"/>
      <c r="S32" s="668" t="n"/>
      <c r="T32" s="668" t="n"/>
      <c r="U32" s="668" t="n"/>
      <c r="V32" s="668" t="n"/>
      <c r="W32" s="668" t="n"/>
      <c r="X32" s="668" t="n"/>
      <c r="Y32" s="668" t="n"/>
      <c r="Z32" s="668" t="n"/>
      <c r="AA32" s="669" t="n"/>
      <c r="AB32" s="432" t="n"/>
      <c r="AC32" s="9" t="n"/>
    </row>
    <row r="33" ht="21.6" customHeight="1">
      <c r="B33" s="187">
        <f>IF(LEN(E33)&gt;1,1,0)</f>
        <v/>
      </c>
      <c r="C33" s="190">
        <f>IF(B33=0,"*","")</f>
        <v/>
      </c>
      <c r="D33" s="241" t="inlineStr">
        <is>
          <t>Puesto:</t>
        </is>
      </c>
      <c r="E33" s="670" t="inlineStr">
        <is>
          <t>Titular / Desarrollador</t>
        </is>
      </c>
      <c r="F33" s="671" t="n"/>
      <c r="G33" s="671" t="n"/>
      <c r="H33" s="671" t="n"/>
      <c r="I33" s="671" t="n"/>
      <c r="J33" s="671" t="n"/>
      <c r="K33" s="671" t="n"/>
      <c r="L33" s="671" t="n"/>
      <c r="M33" s="671" t="n"/>
      <c r="N33" s="671" t="n"/>
      <c r="O33" s="671" t="n"/>
      <c r="P33" s="671" t="n"/>
      <c r="Q33" s="671" t="n"/>
      <c r="R33" s="671" t="n"/>
      <c r="S33" s="671" t="n"/>
      <c r="T33" s="671" t="n"/>
      <c r="U33" s="671" t="n"/>
      <c r="V33" s="671" t="n"/>
      <c r="W33" s="671" t="n"/>
      <c r="X33" s="671" t="n"/>
      <c r="Y33" s="671" t="n"/>
      <c r="Z33" s="671" t="n"/>
      <c r="AA33" s="672" t="n"/>
      <c r="AB33" s="432" t="n"/>
      <c r="AC33" s="9" t="n"/>
    </row>
    <row r="34" ht="21.6" customHeight="1" thickBot="1">
      <c r="B34" s="187">
        <f>IF(LEN(E34)&gt;1,1,0)</f>
        <v/>
      </c>
      <c r="C34" s="190">
        <f>IF(B34=0,"*","")</f>
        <v/>
      </c>
      <c r="D34" s="41" t="inlineStr">
        <is>
          <t>E-mail:</t>
        </is>
      </c>
      <c r="E34" s="673" t="inlineStr">
        <is>
          <t>info@bioenlace.io</t>
        </is>
      </c>
      <c r="F34" s="674" t="n"/>
      <c r="G34" s="674" t="n"/>
      <c r="H34" s="674" t="n"/>
      <c r="I34" s="674" t="n"/>
      <c r="J34" s="674" t="n"/>
      <c r="K34" s="674" t="n"/>
      <c r="L34" s="674" t="n"/>
      <c r="M34" s="674" t="n"/>
      <c r="N34" s="674" t="n"/>
      <c r="O34" s="674" t="n"/>
      <c r="P34" s="674" t="n"/>
      <c r="Q34" s="674" t="n"/>
      <c r="R34" s="674" t="n"/>
      <c r="S34" s="674" t="n"/>
      <c r="T34" s="674" t="n"/>
      <c r="U34" s="674" t="n"/>
      <c r="V34" s="674" t="n"/>
      <c r="W34" s="674" t="n"/>
      <c r="X34" s="674" t="n"/>
      <c r="Y34" s="674" t="n"/>
      <c r="Z34" s="674" t="n"/>
      <c r="AA34" s="675" t="n"/>
      <c r="AB34" s="432" t="n"/>
      <c r="AC34" s="9" t="n"/>
    </row>
    <row r="35" ht="30.6" customHeight="1" thickBot="1">
      <c r="B35" s="187" t="n"/>
      <c r="D35" s="676" t="inlineStr">
        <is>
          <t>Contacto para evaluación ESG</t>
        </is>
      </c>
      <c r="E35" s="655" t="n"/>
      <c r="F35" s="655" t="n"/>
      <c r="G35" s="655" t="n"/>
      <c r="H35" s="655" t="n"/>
      <c r="I35" s="655" t="n"/>
      <c r="J35" s="655" t="n"/>
      <c r="K35" s="655" t="n"/>
      <c r="L35" s="655" t="n"/>
      <c r="M35" s="655" t="n"/>
      <c r="N35" s="655" t="n"/>
      <c r="O35" s="655" t="n"/>
      <c r="P35" s="655" t="n"/>
      <c r="Q35" s="655" t="n"/>
      <c r="R35" s="655" t="n"/>
      <c r="S35" s="655" t="n"/>
      <c r="T35" s="655" t="n"/>
      <c r="U35" s="655" t="n"/>
      <c r="V35" s="655" t="n"/>
      <c r="W35" s="655" t="n"/>
      <c r="X35" s="655" t="n"/>
      <c r="Y35" s="655" t="n"/>
      <c r="Z35" s="655" t="n"/>
      <c r="AA35" s="656" t="n"/>
      <c r="AB35" s="432" t="n"/>
      <c r="AC35" s="9" t="n"/>
    </row>
    <row r="36" ht="21.6" customHeight="1">
      <c r="B36" s="187">
        <f>IF(LEN(E36)&gt;1,1,0)</f>
        <v/>
      </c>
      <c r="C36" s="190">
        <f>IF(B36=0,"*","")</f>
        <v/>
      </c>
      <c r="D36" s="194" t="inlineStr">
        <is>
          <t>Nombre:</t>
        </is>
      </c>
      <c r="E36" s="670" t="inlineStr">
        <is>
          <t>Luis Gustavo Chanferoni</t>
        </is>
      </c>
      <c r="F36" s="671" t="n"/>
      <c r="G36" s="671" t="n"/>
      <c r="H36" s="671" t="n"/>
      <c r="I36" s="671" t="n"/>
      <c r="J36" s="671" t="n"/>
      <c r="K36" s="671" t="n"/>
      <c r="L36" s="671" t="n"/>
      <c r="M36" s="671" t="n"/>
      <c r="N36" s="671" t="n"/>
      <c r="O36" s="671" t="n"/>
      <c r="P36" s="671" t="n"/>
      <c r="Q36" s="671" t="n"/>
      <c r="R36" s="671" t="n"/>
      <c r="S36" s="671" t="n"/>
      <c r="T36" s="671" t="n"/>
      <c r="U36" s="671" t="n"/>
      <c r="V36" s="671" t="n"/>
      <c r="W36" s="671" t="n"/>
      <c r="X36" s="671" t="n"/>
      <c r="Y36" s="671" t="n"/>
      <c r="Z36" s="671" t="n"/>
      <c r="AA36" s="672" t="n"/>
      <c r="AB36" s="432" t="n"/>
      <c r="AC36" s="9" t="n"/>
    </row>
    <row r="37" ht="21.6" customHeight="1">
      <c r="B37" s="187">
        <f>IF(LEN(E37)&gt;1,1,0)</f>
        <v/>
      </c>
      <c r="C37" s="190">
        <f>IF(B37=0,"*","")</f>
        <v/>
      </c>
      <c r="D37" s="241" t="inlineStr">
        <is>
          <t>Puesto:</t>
        </is>
      </c>
      <c r="E37" s="670" t="inlineStr">
        <is>
          <t>Titular</t>
        </is>
      </c>
      <c r="F37" s="671" t="n"/>
      <c r="G37" s="671" t="n"/>
      <c r="H37" s="671" t="n"/>
      <c r="I37" s="671" t="n"/>
      <c r="J37" s="671" t="n"/>
      <c r="K37" s="671" t="n"/>
      <c r="L37" s="671" t="n"/>
      <c r="M37" s="671" t="n"/>
      <c r="N37" s="671" t="n"/>
      <c r="O37" s="671" t="n"/>
      <c r="P37" s="671" t="n"/>
      <c r="Q37" s="671" t="n"/>
      <c r="R37" s="671" t="n"/>
      <c r="S37" s="671" t="n"/>
      <c r="T37" s="671" t="n"/>
      <c r="U37" s="671" t="n"/>
      <c r="V37" s="671" t="n"/>
      <c r="W37" s="671" t="n"/>
      <c r="X37" s="671" t="n"/>
      <c r="Y37" s="671" t="n"/>
      <c r="Z37" s="671" t="n"/>
      <c r="AA37" s="672" t="n"/>
      <c r="AB37" s="432" t="n"/>
      <c r="AC37" s="9" t="n"/>
    </row>
    <row r="38" ht="21.6" customHeight="1">
      <c r="B38" s="187">
        <f>IF(LEN(E38)&gt;1,1,0)</f>
        <v/>
      </c>
      <c r="C38" s="190">
        <f>IF(B38=0,"*","")</f>
        <v/>
      </c>
      <c r="D38" s="41" t="inlineStr">
        <is>
          <t>Teléfono:</t>
        </is>
      </c>
      <c r="E38" s="670" t="inlineStr">
        <is>
          <t>+5493854336246</t>
        </is>
      </c>
      <c r="F38" s="671" t="n"/>
      <c r="G38" s="671" t="n"/>
      <c r="H38" s="671" t="n"/>
      <c r="I38" s="671" t="n"/>
      <c r="J38" s="671" t="n"/>
      <c r="K38" s="671" t="n"/>
      <c r="L38" s="671" t="n"/>
      <c r="M38" s="671" t="n"/>
      <c r="N38" s="671" t="n"/>
      <c r="O38" s="671" t="n"/>
      <c r="P38" s="671" t="n"/>
      <c r="Q38" s="671" t="n"/>
      <c r="R38" s="671" t="n"/>
      <c r="S38" s="671" t="n"/>
      <c r="T38" s="671" t="n"/>
      <c r="U38" s="671" t="n"/>
      <c r="V38" s="671" t="n"/>
      <c r="W38" s="671" t="n"/>
      <c r="X38" s="671" t="n"/>
      <c r="Y38" s="671" t="n"/>
      <c r="Z38" s="671" t="n"/>
      <c r="AA38" s="672" t="n"/>
      <c r="AB38" s="432" t="n"/>
      <c r="AC38" s="9" t="n"/>
    </row>
    <row r="39" ht="29.4" customHeight="1" thickBot="1">
      <c r="B39" s="187">
        <f>IF(LEN(E39)&gt;1,1,0)</f>
        <v/>
      </c>
      <c r="C39" s="190">
        <f>IF(B39=0,"*","")</f>
        <v/>
      </c>
      <c r="D39" s="242" t="inlineStr">
        <is>
          <t>E-mail:</t>
        </is>
      </c>
      <c r="E39" s="678" t="inlineStr">
        <is>
          <t>info@bioenlace.io</t>
        </is>
      </c>
      <c r="F39" s="679" t="n"/>
      <c r="G39" s="679" t="n"/>
      <c r="H39" s="679" t="n"/>
      <c r="I39" s="679" t="n"/>
      <c r="J39" s="679" t="n"/>
      <c r="K39" s="679" t="n"/>
      <c r="L39" s="679" t="n"/>
      <c r="M39" s="679" t="n"/>
      <c r="N39" s="679" t="n"/>
      <c r="O39" s="679" t="n"/>
      <c r="P39" s="679" t="n"/>
      <c r="Q39" s="679" t="n"/>
      <c r="R39" s="679" t="n"/>
      <c r="S39" s="679" t="n"/>
      <c r="T39" s="679" t="n"/>
      <c r="U39" s="679" t="n"/>
      <c r="V39" s="679" t="n"/>
      <c r="W39" s="679" t="n"/>
      <c r="X39" s="679" t="n"/>
      <c r="Y39" s="679" t="n"/>
      <c r="Z39" s="679" t="n"/>
      <c r="AA39" s="680" t="n"/>
      <c r="AB39" s="432" t="n"/>
      <c r="AC39" s="9" t="n"/>
    </row>
    <row r="40">
      <c r="B40" s="187" t="n"/>
      <c r="E40" s="624" t="n"/>
      <c r="F40" s="624" t="n"/>
      <c r="G40" s="624" t="n"/>
      <c r="H40" s="624" t="n"/>
      <c r="I40" s="624" t="n"/>
      <c r="J40" s="624" t="n"/>
      <c r="K40" s="624" t="n"/>
      <c r="L40" s="624" t="n"/>
      <c r="M40" s="624" t="n"/>
      <c r="N40" s="624" t="n"/>
      <c r="O40" s="624" t="n"/>
      <c r="P40" s="624" t="n"/>
      <c r="Q40" s="624" t="n"/>
      <c r="R40" s="624" t="n"/>
      <c r="S40" s="624" t="n"/>
      <c r="T40" s="624" t="n"/>
      <c r="U40" s="624" t="n"/>
      <c r="V40" s="624" t="n"/>
      <c r="W40" s="624" t="n"/>
      <c r="X40" s="624" t="n"/>
      <c r="Y40" s="624" t="n"/>
      <c r="Z40" s="624" t="n"/>
      <c r="AA40" s="624" t="n"/>
      <c r="AB40" s="624" t="n"/>
      <c r="AC40" s="9" t="n"/>
    </row>
    <row r="41">
      <c r="B41" s="187" t="n"/>
      <c r="E41" s="624" t="n"/>
      <c r="F41" s="624" t="n"/>
      <c r="G41" s="624" t="n"/>
      <c r="H41" s="624" t="n"/>
      <c r="I41" s="624" t="n"/>
      <c r="J41" s="624" t="n"/>
      <c r="K41" s="624" t="n"/>
      <c r="L41" s="624" t="n"/>
      <c r="M41" s="624" t="n"/>
      <c r="N41" s="624" t="n"/>
      <c r="O41" s="624" t="n"/>
      <c r="P41" s="624" t="n"/>
      <c r="Q41" s="624" t="n"/>
      <c r="R41" s="624" t="n"/>
      <c r="S41" s="624" t="n"/>
      <c r="T41" s="624" t="n"/>
      <c r="U41" s="624" t="n"/>
      <c r="V41" s="624" t="n"/>
      <c r="W41" s="624" t="n"/>
      <c r="X41" s="624" t="n"/>
      <c r="Y41" s="624" t="n"/>
      <c r="Z41" s="624" t="n"/>
      <c r="AA41" s="624" t="n"/>
      <c r="AB41" s="624" t="n"/>
      <c r="AC41" s="9" t="n"/>
    </row>
    <row r="42" ht="27" customHeight="1" thickBot="1">
      <c r="B42" s="187" t="n"/>
      <c r="E42" s="624" t="n"/>
      <c r="F42" s="624" t="n"/>
      <c r="G42" s="624" t="n"/>
      <c r="H42" s="624" t="n"/>
      <c r="I42" s="624" t="n"/>
      <c r="J42" s="624" t="n"/>
      <c r="K42" s="624" t="n"/>
      <c r="L42" s="624" t="n"/>
      <c r="M42" s="624" t="n"/>
      <c r="N42" s="624" t="n"/>
      <c r="O42" s="624" t="n"/>
      <c r="P42" s="624" t="n"/>
      <c r="Q42" s="624" t="n"/>
      <c r="R42" s="624" t="n"/>
      <c r="S42" s="624" t="n"/>
      <c r="T42" s="624" t="n"/>
      <c r="U42" s="624" t="n"/>
      <c r="V42" s="624" t="n"/>
      <c r="W42" s="624" t="n"/>
      <c r="X42" s="624" t="n"/>
      <c r="Y42" s="624" t="n"/>
      <c r="Z42" s="624" t="n"/>
      <c r="AA42" s="624" t="n"/>
      <c r="AB42" s="624" t="n"/>
      <c r="AC42" s="9" t="n"/>
    </row>
    <row r="43" ht="37.5" customHeight="1" thickBot="1">
      <c r="B43" s="187">
        <f>SUM(B44:B99)/COUNT(B44:B99)</f>
        <v/>
      </c>
      <c r="C43" s="190">
        <f>IF(B43=0,"*","")</f>
        <v/>
      </c>
      <c r="D43" s="681" t="inlineStr">
        <is>
          <t>DATOS GENERALES DE LA EMPRESA</t>
        </is>
      </c>
      <c r="E43" s="658" t="n"/>
      <c r="F43" s="658" t="n"/>
      <c r="G43" s="658" t="n"/>
      <c r="H43" s="658" t="n"/>
      <c r="I43" s="658" t="n"/>
      <c r="J43" s="658" t="n"/>
      <c r="K43" s="658" t="n"/>
      <c r="L43" s="658" t="n"/>
      <c r="M43" s="658" t="n"/>
      <c r="N43" s="658" t="n"/>
      <c r="O43" s="658" t="n"/>
      <c r="P43" s="658" t="n"/>
      <c r="Q43" s="658" t="n"/>
      <c r="R43" s="658" t="n"/>
      <c r="S43" s="658" t="n"/>
      <c r="T43" s="658" t="n"/>
      <c r="U43" s="658" t="n"/>
      <c r="V43" s="658" t="n"/>
      <c r="W43" s="658" t="n"/>
      <c r="X43" s="658" t="n"/>
      <c r="Y43" s="658" t="n"/>
      <c r="Z43" s="658" t="n"/>
      <c r="AA43" s="659" t="n"/>
      <c r="AB43" s="113" t="n"/>
      <c r="AC43" s="9" t="n"/>
    </row>
    <row r="44" ht="27.9" customHeight="1">
      <c r="B44" s="187">
        <f>IF(LEN(E44)&gt;1,1,0)</f>
        <v/>
      </c>
      <c r="C44" s="190">
        <f>IF(B44=0,"*","")</f>
        <v/>
      </c>
      <c r="D44" s="95" t="inlineStr">
        <is>
          <t>Razón social:</t>
        </is>
      </c>
      <c r="E44" s="682" t="inlineStr">
        <is>
          <t>LUIS GUSTAVO CHANFERONI</t>
        </is>
      </c>
      <c r="F44" s="683" t="n"/>
      <c r="G44" s="683" t="n"/>
      <c r="H44" s="683" t="n"/>
      <c r="I44" s="683" t="n"/>
      <c r="J44" s="683" t="n"/>
      <c r="K44" s="683" t="n"/>
      <c r="L44" s="683" t="n"/>
      <c r="M44" s="683" t="n"/>
      <c r="N44" s="683" t="n"/>
      <c r="O44" s="683" t="n"/>
      <c r="P44" s="683" t="n"/>
      <c r="Q44" s="683" t="n"/>
      <c r="R44" s="683" t="n"/>
      <c r="S44" s="683" t="n"/>
      <c r="T44" s="683" t="n"/>
      <c r="U44" s="683" t="n"/>
      <c r="V44" s="683" t="n"/>
      <c r="W44" s="683" t="n"/>
      <c r="X44" s="683" t="n"/>
      <c r="Y44" s="683" t="n"/>
      <c r="Z44" s="683" t="n"/>
      <c r="AA44" s="684" t="n"/>
      <c r="AB44" s="135" t="n"/>
      <c r="AC44" s="9" t="n"/>
    </row>
    <row r="45" ht="22.5" customHeight="1">
      <c r="B45" s="187">
        <f>IF(LEN(E45)&gt;1,1,0)</f>
        <v/>
      </c>
      <c r="C45" s="190">
        <f>IF(B45=0,"*","")</f>
        <v/>
      </c>
      <c r="D45" s="241" t="inlineStr">
        <is>
          <t>Nombre comercial:</t>
        </is>
      </c>
      <c r="E45" s="685" t="inlineStr">
        <is>
          <t>Bioenlace</t>
        </is>
      </c>
      <c r="F45" s="671" t="n"/>
      <c r="G45" s="671" t="n"/>
      <c r="H45" s="671" t="n"/>
      <c r="I45" s="671" t="n"/>
      <c r="J45" s="671" t="n"/>
      <c r="K45" s="671" t="n"/>
      <c r="L45" s="671" t="n"/>
      <c r="M45" s="671" t="n"/>
      <c r="N45" s="671" t="n"/>
      <c r="O45" s="671" t="n"/>
      <c r="P45" s="671" t="n"/>
      <c r="Q45" s="671" t="n"/>
      <c r="R45" s="671" t="n"/>
      <c r="S45" s="671" t="n"/>
      <c r="T45" s="671" t="n"/>
      <c r="U45" s="671" t="n"/>
      <c r="V45" s="671" t="n"/>
      <c r="W45" s="671" t="n"/>
      <c r="X45" s="671" t="n"/>
      <c r="Y45" s="671" t="n"/>
      <c r="Z45" s="671" t="n"/>
      <c r="AA45" s="672" t="n"/>
      <c r="AB45" s="135" t="n"/>
      <c r="AC45" s="9" t="n"/>
    </row>
    <row r="46" ht="26.4" customHeight="1">
      <c r="B46" s="187">
        <f>IF(LEN(E46)&gt;1,1,0)</f>
        <v/>
      </c>
      <c r="C46" s="190">
        <f>IF(B46=0,"*","")</f>
        <v/>
      </c>
      <c r="D46" s="241" t="inlineStr">
        <is>
          <t xml:space="preserve">Tax ID: (RUT, CUIT o RUC) </t>
        </is>
      </c>
      <c r="E46" s="685" t="inlineStr">
        <is>
          <t>20-29486884-5</t>
        </is>
      </c>
      <c r="F46" s="671" t="n"/>
      <c r="G46" s="671" t="n"/>
      <c r="H46" s="671" t="n"/>
      <c r="I46" s="671" t="n"/>
      <c r="J46" s="671" t="n"/>
      <c r="K46" s="671" t="n"/>
      <c r="L46" s="671" t="n"/>
      <c r="M46" s="671" t="n"/>
      <c r="N46" s="671" t="n"/>
      <c r="O46" s="671" t="n"/>
      <c r="P46" s="671" t="n"/>
      <c r="Q46" s="671" t="n"/>
      <c r="R46" s="671" t="n"/>
      <c r="S46" s="671" t="n"/>
      <c r="T46" s="671" t="n"/>
      <c r="U46" s="671" t="n"/>
      <c r="V46" s="671" t="n"/>
      <c r="W46" s="671" t="n"/>
      <c r="X46" s="671" t="n"/>
      <c r="Y46" s="671" t="n"/>
      <c r="Z46" s="671" t="n"/>
      <c r="AA46" s="672" t="n"/>
      <c r="AB46" s="135" t="n"/>
      <c r="AC46" s="9" t="n"/>
    </row>
    <row r="47" ht="36.6" customHeight="1">
      <c r="B47" s="187">
        <f>IF(LEN(E47)&gt;1,1,0)</f>
        <v/>
      </c>
      <c r="C47" s="190">
        <f>IF(B47=0,"*","")</f>
        <v/>
      </c>
      <c r="D47" s="34" t="inlineStr">
        <is>
          <t>E-mail general:</t>
        </is>
      </c>
      <c r="E47" s="687" t="inlineStr">
        <is>
          <t>info@bioenlace.io</t>
        </is>
      </c>
      <c r="F47" s="671" t="n"/>
      <c r="G47" s="671" t="n"/>
      <c r="H47" s="671" t="n"/>
      <c r="I47" s="671" t="n"/>
      <c r="J47" s="671" t="n"/>
      <c r="K47" s="671" t="n"/>
      <c r="L47" s="671" t="n"/>
      <c r="M47" s="671" t="n"/>
      <c r="N47" s="671" t="n"/>
      <c r="O47" s="671" t="n"/>
      <c r="P47" s="671" t="n"/>
      <c r="Q47" s="671" t="n"/>
      <c r="R47" s="671" t="n"/>
      <c r="S47" s="671" t="n"/>
      <c r="T47" s="671" t="n"/>
      <c r="U47" s="671" t="n"/>
      <c r="V47" s="671" t="n"/>
      <c r="W47" s="671" t="n"/>
      <c r="X47" s="671" t="n"/>
      <c r="Y47" s="671" t="n"/>
      <c r="Z47" s="671" t="n"/>
      <c r="AA47" s="672" t="n"/>
      <c r="AB47" s="135" t="n"/>
      <c r="AC47" s="9" t="n"/>
    </row>
    <row r="48" ht="26.1" customHeight="1">
      <c r="B48" s="187">
        <f>IF(LEN(E48)&gt;1,1,0)</f>
        <v/>
      </c>
      <c r="C48" s="190">
        <f>IF(B48=0,"*","")</f>
        <v/>
      </c>
      <c r="D48" s="241" t="inlineStr">
        <is>
          <t xml:space="preserve">Tipo de contribuyente: </t>
        </is>
      </c>
      <c r="E48" s="688" t="inlineStr">
        <is>
          <t>Persona Física</t>
        </is>
      </c>
      <c r="F48" s="671" t="n"/>
      <c r="G48" s="671" t="n"/>
      <c r="H48" s="672" t="n"/>
      <c r="I48" s="452" t="n"/>
      <c r="J48" s="689" t="n"/>
      <c r="K48" s="689" t="n"/>
      <c r="L48" s="689" t="n"/>
      <c r="M48" s="689" t="n"/>
      <c r="N48" s="689" t="n"/>
      <c r="O48" s="689" t="n"/>
      <c r="P48" s="689" t="n"/>
      <c r="Q48" s="689" t="n"/>
      <c r="R48" s="689" t="n"/>
      <c r="S48" s="689" t="n"/>
      <c r="T48" s="689" t="n"/>
      <c r="U48" s="689" t="n"/>
      <c r="V48" s="689" t="n"/>
      <c r="W48" s="689" t="n"/>
      <c r="X48" s="689" t="n"/>
      <c r="Y48" s="689" t="n"/>
      <c r="Z48" s="689" t="n"/>
      <c r="AA48" s="690" t="n"/>
      <c r="AB48" s="624" t="n"/>
      <c r="AC48" s="9" t="n"/>
    </row>
    <row r="49" ht="35.4" customHeight="1">
      <c r="B49" s="187">
        <f>IF(LEN(E49)&gt;1,1,0)</f>
        <v/>
      </c>
      <c r="C49" s="190">
        <f>IF(B49=0,"*","")</f>
        <v/>
      </c>
      <c r="D49" s="241" t="inlineStr">
        <is>
          <t>Afiliado a alguna cámara o asociación?</t>
        </is>
      </c>
      <c r="E49" s="691" t="inlineStr">
        <is>
          <t>No</t>
        </is>
      </c>
      <c r="F49" s="671" t="n"/>
      <c r="G49" s="671" t="n"/>
      <c r="H49" s="672" t="n"/>
      <c r="I49" s="692" t="n"/>
      <c r="J49" s="693" t="n"/>
      <c r="K49" s="693" t="n"/>
      <c r="L49" s="693" t="n"/>
      <c r="M49" s="693" t="n"/>
      <c r="N49" s="693" t="n"/>
      <c r="O49" s="693" t="n"/>
      <c r="P49" s="693" t="n"/>
      <c r="Q49" s="693" t="n"/>
      <c r="R49" s="693" t="n"/>
      <c r="S49" s="693" t="n"/>
      <c r="T49" s="693" t="n"/>
      <c r="U49" s="693" t="n"/>
      <c r="V49" s="693" t="n"/>
      <c r="W49" s="693" t="n"/>
      <c r="X49" s="693" t="n"/>
      <c r="Y49" s="693" t="n"/>
      <c r="Z49" s="693" t="n"/>
      <c r="AA49" s="694" t="n"/>
      <c r="AB49" s="624" t="n"/>
      <c r="AC49" s="9" t="n"/>
    </row>
    <row r="50" ht="35.4" customHeight="1">
      <c r="B50" s="187">
        <f>IF(OR(E49="No",LEN(E49)&lt;1),1,IF(LEN(E50)&gt;1,1,0))</f>
        <v/>
      </c>
      <c r="C50" s="190">
        <f>IF(B50=0,"*","")</f>
        <v/>
      </c>
      <c r="D50" s="241" t="inlineStr">
        <is>
          <t>No. de registro de afiliación:</t>
        </is>
      </c>
      <c r="E50" s="691" t="inlineStr">
        <is>
          <t>NA</t>
        </is>
      </c>
      <c r="F50" s="671" t="n"/>
      <c r="G50" s="671" t="n"/>
      <c r="H50" s="672" t="n"/>
      <c r="I50" s="452" t="n"/>
      <c r="J50" s="452" t="n"/>
      <c r="K50" s="452" t="n"/>
      <c r="L50" s="452" t="n"/>
      <c r="M50" s="452" t="n"/>
      <c r="N50" s="452" t="n"/>
      <c r="O50" s="452" t="n"/>
      <c r="P50" s="452" t="n"/>
      <c r="Q50" s="452" t="n"/>
      <c r="R50" s="452" t="n"/>
      <c r="S50" s="452" t="n"/>
      <c r="T50" s="452" t="n"/>
      <c r="U50" s="452" t="n"/>
      <c r="V50" s="452" t="n"/>
      <c r="W50" s="452" t="n"/>
      <c r="X50" s="452" t="n"/>
      <c r="Y50" s="452" t="n"/>
      <c r="Z50" s="452" t="n"/>
      <c r="AA50" s="453" t="n"/>
      <c r="AB50" s="624" t="n"/>
      <c r="AC50" s="9" t="n"/>
    </row>
    <row r="51" ht="35.1" customHeight="1" thickBot="1">
      <c r="B51" s="187">
        <f>IF(OR(E49="No",LEN(E49)&lt;1),1,IF(LEN(E51)&gt;1,1,0))</f>
        <v/>
      </c>
      <c r="C51" s="190">
        <f>IF(B51=0,"*","")</f>
        <v/>
      </c>
      <c r="D51" s="180" t="inlineStr">
        <is>
          <t xml:space="preserve">Afiliado a:
(enliste todas) </t>
        </is>
      </c>
      <c r="E51" s="695" t="inlineStr">
        <is>
          <t>NA</t>
        </is>
      </c>
      <c r="F51" s="679" t="n"/>
      <c r="G51" s="679" t="n"/>
      <c r="H51" s="679" t="n"/>
      <c r="I51" s="679" t="n"/>
      <c r="J51" s="679" t="n"/>
      <c r="K51" s="679" t="n"/>
      <c r="L51" s="679" t="n"/>
      <c r="M51" s="679" t="n"/>
      <c r="N51" s="679" t="n"/>
      <c r="O51" s="679" t="n"/>
      <c r="P51" s="679" t="n"/>
      <c r="Q51" s="679" t="n"/>
      <c r="R51" s="679" t="n"/>
      <c r="S51" s="679" t="n"/>
      <c r="T51" s="679" t="n"/>
      <c r="U51" s="679" t="n"/>
      <c r="V51" s="679" t="n"/>
      <c r="W51" s="679" t="n"/>
      <c r="X51" s="679" t="n"/>
      <c r="Y51" s="679" t="n"/>
      <c r="Z51" s="679" t="n"/>
      <c r="AA51" s="680" t="n"/>
      <c r="AB51" s="587" t="n"/>
      <c r="AC51" s="9" t="n"/>
    </row>
    <row r="52" ht="21" customHeight="1" thickBot="1">
      <c r="B52" s="187" t="n"/>
      <c r="D52" s="1" t="n"/>
      <c r="AC52" s="9" t="n"/>
    </row>
    <row r="53" ht="35.1" customHeight="1" thickBot="1">
      <c r="B53" s="187" t="n"/>
      <c r="D53" s="546" t="inlineStr">
        <is>
          <t>PRESENCIA ONLINE</t>
        </is>
      </c>
      <c r="E53" s="655" t="n"/>
      <c r="F53" s="655" t="n"/>
      <c r="G53" s="655" t="n"/>
      <c r="H53" s="655" t="n"/>
      <c r="I53" s="655" t="n"/>
      <c r="J53" s="655" t="n"/>
      <c r="K53" s="655" t="n"/>
      <c r="L53" s="655" t="n"/>
      <c r="M53" s="655" t="n"/>
      <c r="N53" s="655" t="n"/>
      <c r="O53" s="655" t="n"/>
      <c r="P53" s="655" t="n"/>
      <c r="Q53" s="655" t="n"/>
      <c r="R53" s="655" t="n"/>
      <c r="S53" s="655" t="n"/>
      <c r="T53" s="655" t="n"/>
      <c r="U53" s="655" t="n"/>
      <c r="V53" s="655" t="n"/>
      <c r="W53" s="655" t="n"/>
      <c r="X53" s="655" t="n"/>
      <c r="Y53" s="655" t="n"/>
      <c r="Z53" s="655" t="n"/>
      <c r="AA53" s="666" t="n"/>
      <c r="AC53" s="9" t="n"/>
    </row>
    <row r="54" ht="21.9" customHeight="1">
      <c r="B54" s="187">
        <f>IF(LEN(E54)&gt;1,1,0)</f>
        <v/>
      </c>
      <c r="C54" s="190">
        <f>IF(B54=0,"*","")</f>
        <v/>
      </c>
      <c r="D54" s="33" t="inlineStr">
        <is>
          <t>Página Web:</t>
        </is>
      </c>
      <c r="E54" s="696" t="inlineStr">
        <is>
          <t>https://bioenlace.io</t>
        </is>
      </c>
      <c r="F54" s="683" t="n"/>
      <c r="G54" s="683" t="n"/>
      <c r="H54" s="683" t="n"/>
      <c r="I54" s="683" t="n"/>
      <c r="J54" s="683" t="n"/>
      <c r="K54" s="683" t="n"/>
      <c r="L54" s="683" t="n"/>
      <c r="M54" s="683" t="n"/>
      <c r="N54" s="683" t="n"/>
      <c r="O54" s="683" t="n"/>
      <c r="P54" s="683" t="n"/>
      <c r="Q54" s="683" t="n"/>
      <c r="R54" s="683" t="n"/>
      <c r="S54" s="683" t="n"/>
      <c r="T54" s="683" t="n"/>
      <c r="U54" s="683" t="n"/>
      <c r="V54" s="683" t="n"/>
      <c r="W54" s="683" t="n"/>
      <c r="X54" s="683" t="n"/>
      <c r="Y54" s="683" t="n"/>
      <c r="Z54" s="683" t="n"/>
      <c r="AA54" s="697" t="n"/>
      <c r="AC54" s="9" t="n"/>
    </row>
    <row r="55" ht="21" customHeight="1">
      <c r="B55" s="187">
        <f>IF(LEN(E55)&gt;1,1,0)</f>
        <v/>
      </c>
      <c r="C55" s="190">
        <f>IF(B55=0,"*","")</f>
        <v/>
      </c>
      <c r="D55" s="34" t="inlineStr">
        <is>
          <t>Enlace al Facebook de la empresa:</t>
        </is>
      </c>
      <c r="E55" s="698" t="inlineStr">
        <is>
          <t>NA</t>
        </is>
      </c>
      <c r="F55" s="671" t="n"/>
      <c r="G55" s="671" t="n"/>
      <c r="H55" s="671" t="n"/>
      <c r="I55" s="671" t="n"/>
      <c r="J55" s="671" t="n"/>
      <c r="K55" s="671" t="n"/>
      <c r="L55" s="671" t="n"/>
      <c r="M55" s="671" t="n"/>
      <c r="N55" s="671" t="n"/>
      <c r="O55" s="671" t="n"/>
      <c r="P55" s="671" t="n"/>
      <c r="Q55" s="671" t="n"/>
      <c r="R55" s="671" t="n"/>
      <c r="S55" s="671" t="n"/>
      <c r="T55" s="671" t="n"/>
      <c r="U55" s="671" t="n"/>
      <c r="V55" s="671" t="n"/>
      <c r="W55" s="671" t="n"/>
      <c r="X55" s="671" t="n"/>
      <c r="Y55" s="671" t="n"/>
      <c r="Z55" s="671" t="n"/>
      <c r="AA55" s="699" t="n"/>
      <c r="AC55" s="9" t="n"/>
    </row>
    <row r="56" ht="21" customHeight="1">
      <c r="B56" s="187">
        <f>IF(LEN(E56)&gt;1,1,0)</f>
        <v/>
      </c>
      <c r="C56" s="190">
        <f>IF(B56=0,"*","")</f>
        <v/>
      </c>
      <c r="D56" s="34" t="inlineStr">
        <is>
          <t>Enlace al LinkedIn de la empresa:</t>
        </is>
      </c>
      <c r="E56" s="698" t="inlineStr">
        <is>
          <t>NA</t>
        </is>
      </c>
      <c r="F56" s="671" t="n"/>
      <c r="G56" s="671" t="n"/>
      <c r="H56" s="671" t="n"/>
      <c r="I56" s="671" t="n"/>
      <c r="J56" s="671" t="n"/>
      <c r="K56" s="671" t="n"/>
      <c r="L56" s="671" t="n"/>
      <c r="M56" s="671" t="n"/>
      <c r="N56" s="671" t="n"/>
      <c r="O56" s="671" t="n"/>
      <c r="P56" s="671" t="n"/>
      <c r="Q56" s="671" t="n"/>
      <c r="R56" s="671" t="n"/>
      <c r="S56" s="671" t="n"/>
      <c r="T56" s="671" t="n"/>
      <c r="U56" s="671" t="n"/>
      <c r="V56" s="671" t="n"/>
      <c r="W56" s="671" t="n"/>
      <c r="X56" s="671" t="n"/>
      <c r="Y56" s="671" t="n"/>
      <c r="Z56" s="671" t="n"/>
      <c r="AA56" s="699" t="n"/>
      <c r="AC56" s="9" t="n"/>
    </row>
    <row r="57" ht="21" customHeight="1">
      <c r="B57" s="187">
        <f>IF(LEN(E57)&gt;1,1,0)</f>
        <v/>
      </c>
      <c r="C57" s="190">
        <f>IF(B57=0,"*","")</f>
        <v/>
      </c>
      <c r="D57" s="34" t="inlineStr">
        <is>
          <t>Enlace al Twitter de la empresa:</t>
        </is>
      </c>
      <c r="E57" s="698" t="inlineStr">
        <is>
          <t>NA</t>
        </is>
      </c>
      <c r="F57" s="671" t="n"/>
      <c r="G57" s="671" t="n"/>
      <c r="H57" s="671" t="n"/>
      <c r="I57" s="671" t="n"/>
      <c r="J57" s="671" t="n"/>
      <c r="K57" s="671" t="n"/>
      <c r="L57" s="671" t="n"/>
      <c r="M57" s="671" t="n"/>
      <c r="N57" s="671" t="n"/>
      <c r="O57" s="671" t="n"/>
      <c r="P57" s="671" t="n"/>
      <c r="Q57" s="671" t="n"/>
      <c r="R57" s="671" t="n"/>
      <c r="S57" s="671" t="n"/>
      <c r="T57" s="671" t="n"/>
      <c r="U57" s="671" t="n"/>
      <c r="V57" s="671" t="n"/>
      <c r="W57" s="671" t="n"/>
      <c r="X57" s="671" t="n"/>
      <c r="Y57" s="671" t="n"/>
      <c r="Z57" s="671" t="n"/>
      <c r="AA57" s="699" t="n"/>
      <c r="AC57" s="9" t="n"/>
    </row>
    <row r="58" ht="21" customHeight="1">
      <c r="B58" s="187">
        <f>IF(LEN(E58)&gt;1,1,0)</f>
        <v/>
      </c>
      <c r="C58" s="190">
        <f>IF(B58=0,"*","")</f>
        <v/>
      </c>
      <c r="D58" s="34" t="inlineStr">
        <is>
          <t>Enlace al Instagram de la empresa:</t>
        </is>
      </c>
      <c r="E58" s="698" t="inlineStr">
        <is>
          <t>NA</t>
        </is>
      </c>
      <c r="F58" s="671" t="n"/>
      <c r="G58" s="671" t="n"/>
      <c r="H58" s="671" t="n"/>
      <c r="I58" s="671" t="n"/>
      <c r="J58" s="671" t="n"/>
      <c r="K58" s="671" t="n"/>
      <c r="L58" s="671" t="n"/>
      <c r="M58" s="671" t="n"/>
      <c r="N58" s="671" t="n"/>
      <c r="O58" s="671" t="n"/>
      <c r="P58" s="671" t="n"/>
      <c r="Q58" s="671" t="n"/>
      <c r="R58" s="671" t="n"/>
      <c r="S58" s="671" t="n"/>
      <c r="T58" s="671" t="n"/>
      <c r="U58" s="671" t="n"/>
      <c r="V58" s="671" t="n"/>
      <c r="W58" s="671" t="n"/>
      <c r="X58" s="671" t="n"/>
      <c r="Y58" s="671" t="n"/>
      <c r="Z58" s="671" t="n"/>
      <c r="AA58" s="699" t="n"/>
      <c r="AC58" s="9" t="n"/>
    </row>
    <row r="59" ht="21" customHeight="1" thickBot="1">
      <c r="B59" s="187">
        <f>IF(LEN(E59)&gt;1,1,0)</f>
        <v/>
      </c>
      <c r="C59" s="190">
        <f>IF(B59=0,"*","")</f>
        <v/>
      </c>
      <c r="D59" s="35" t="inlineStr">
        <is>
          <t>Enlace al canal corporativo en YouTube:</t>
        </is>
      </c>
      <c r="E59" s="700" t="inlineStr">
        <is>
          <t>NA</t>
        </is>
      </c>
      <c r="F59" s="679" t="n"/>
      <c r="G59" s="679" t="n"/>
      <c r="H59" s="679" t="n"/>
      <c r="I59" s="679" t="n"/>
      <c r="J59" s="679" t="n"/>
      <c r="K59" s="679" t="n"/>
      <c r="L59" s="679" t="n"/>
      <c r="M59" s="679" t="n"/>
      <c r="N59" s="679" t="n"/>
      <c r="O59" s="679" t="n"/>
      <c r="P59" s="679" t="n"/>
      <c r="Q59" s="679" t="n"/>
      <c r="R59" s="679" t="n"/>
      <c r="S59" s="679" t="n"/>
      <c r="T59" s="679" t="n"/>
      <c r="U59" s="679" t="n"/>
      <c r="V59" s="679" t="n"/>
      <c r="W59" s="679" t="n"/>
      <c r="X59" s="679" t="n"/>
      <c r="Y59" s="679" t="n"/>
      <c r="Z59" s="679" t="n"/>
      <c r="AA59" s="701" t="n"/>
      <c r="AC59" s="9" t="n"/>
    </row>
    <row r="60" ht="35.1" customHeight="1" thickBot="1">
      <c r="B60" s="187" t="n"/>
      <c r="D60" s="1" t="n"/>
      <c r="AC60" s="9" t="n"/>
    </row>
    <row r="61" ht="24.6" customHeight="1">
      <c r="B61" s="187" t="n"/>
      <c r="D61" s="702" t="inlineStr">
        <is>
          <t>DIRECCIÓN OPERATIVA ACTUAL</t>
        </is>
      </c>
      <c r="E61" s="658" t="n"/>
      <c r="F61" s="658" t="n"/>
      <c r="G61" s="658" t="n"/>
      <c r="H61" s="658" t="n"/>
      <c r="I61" s="658" t="n"/>
      <c r="J61" s="658" t="n"/>
      <c r="K61" s="658" t="n"/>
      <c r="L61" s="658" t="n"/>
      <c r="M61" s="658" t="n"/>
      <c r="N61" s="658" t="n"/>
      <c r="O61" s="658" t="n"/>
      <c r="P61" s="658" t="n"/>
      <c r="Q61" s="658" t="n"/>
      <c r="R61" s="658" t="n"/>
      <c r="S61" s="658" t="n"/>
      <c r="T61" s="658" t="n"/>
      <c r="U61" s="658" t="n"/>
      <c r="V61" s="658" t="n"/>
      <c r="W61" s="658" t="n"/>
      <c r="X61" s="658" t="n"/>
      <c r="Y61" s="658" t="n"/>
      <c r="Z61" s="658" t="n"/>
      <c r="AA61" s="659" t="n"/>
      <c r="AB61" s="137" t="n"/>
      <c r="AC61" s="9" t="n"/>
    </row>
    <row r="62" ht="27.9" customHeight="1" thickBot="1">
      <c r="B62" s="187" t="n"/>
      <c r="D62" s="703" t="inlineStr">
        <is>
          <t>(Ubicación donde se realizan todas las actividades descriptas en su objeto social)</t>
        </is>
      </c>
      <c r="E62" s="663" t="n"/>
      <c r="F62" s="663" t="n"/>
      <c r="G62" s="663" t="n"/>
      <c r="H62" s="663" t="n"/>
      <c r="I62" s="663" t="n"/>
      <c r="J62" s="663" t="n"/>
      <c r="K62" s="663" t="n"/>
      <c r="L62" s="663" t="n"/>
      <c r="M62" s="663" t="n"/>
      <c r="N62" s="663" t="n"/>
      <c r="O62" s="663" t="n"/>
      <c r="P62" s="663" t="n"/>
      <c r="Q62" s="663" t="n"/>
      <c r="R62" s="663" t="n"/>
      <c r="S62" s="663" t="n"/>
      <c r="T62" s="663" t="n"/>
      <c r="U62" s="663" t="n"/>
      <c r="V62" s="663" t="n"/>
      <c r="W62" s="663" t="n"/>
      <c r="X62" s="663" t="n"/>
      <c r="Y62" s="663" t="n"/>
      <c r="Z62" s="663" t="n"/>
      <c r="AA62" s="664" t="n"/>
      <c r="AB62" s="138" t="n"/>
      <c r="AC62" s="9" t="n"/>
    </row>
    <row r="63" ht="30.9" customHeight="1">
      <c r="B63" s="187">
        <f>IF(LEN(E63)&gt;1,1,0)</f>
        <v/>
      </c>
      <c r="C63" s="190">
        <f>IF(B63=0,"*","")</f>
        <v/>
      </c>
      <c r="D63" s="33" t="inlineStr">
        <is>
          <t xml:space="preserve">¿Es dirección fiscal? </t>
        </is>
      </c>
      <c r="E63" s="770" t="inlineStr">
        <is>
          <t>Sí</t>
        </is>
      </c>
      <c r="F63" s="668" t="n"/>
      <c r="G63" s="668" t="n"/>
      <c r="H63" s="669" t="n"/>
      <c r="I63" s="531" t="n"/>
      <c r="J63" s="693" t="n"/>
      <c r="K63" s="693" t="n"/>
      <c r="L63" s="693" t="n"/>
      <c r="M63" s="693" t="n"/>
      <c r="N63" s="693" t="n"/>
      <c r="O63" s="693" t="n"/>
      <c r="P63" s="693" t="n"/>
      <c r="Q63" s="693" t="n"/>
      <c r="R63" s="693" t="n"/>
      <c r="S63" s="693" t="n"/>
      <c r="T63" s="693" t="n"/>
      <c r="U63" s="693" t="n"/>
      <c r="V63" s="693" t="n"/>
      <c r="W63" s="693" t="n"/>
      <c r="X63" s="693" t="n"/>
      <c r="Y63" s="693" t="n"/>
      <c r="Z63" s="693" t="n"/>
      <c r="AA63" s="694" t="n"/>
      <c r="AB63" s="5" t="n"/>
      <c r="AC63" s="9" t="n"/>
    </row>
    <row r="64" ht="19.5" customHeight="1">
      <c r="B64" s="187">
        <f>IF(LEN(E64)&gt;1,1,0)</f>
        <v/>
      </c>
      <c r="C64" s="190">
        <f>IF(B64=0,"*","")</f>
        <v/>
      </c>
      <c r="D64" s="241" t="inlineStr">
        <is>
          <t>Calle:</t>
        </is>
      </c>
      <c r="E64" s="706" t="inlineStr">
        <is>
          <t>Bernardo Houssay</t>
        </is>
      </c>
      <c r="F64" s="671" t="n"/>
      <c r="G64" s="671" t="n"/>
      <c r="H64" s="671" t="n"/>
      <c r="I64" s="671" t="n"/>
      <c r="J64" s="671" t="n"/>
      <c r="K64" s="671" t="n"/>
      <c r="L64" s="671" t="n"/>
      <c r="M64" s="671" t="n"/>
      <c r="N64" s="671" t="n"/>
      <c r="O64" s="671" t="n"/>
      <c r="P64" s="671" t="n"/>
      <c r="Q64" s="671" t="n"/>
      <c r="R64" s="671" t="n"/>
      <c r="S64" s="671" t="n"/>
      <c r="T64" s="671" t="n"/>
      <c r="U64" s="671" t="n"/>
      <c r="V64" s="671" t="n"/>
      <c r="W64" s="671" t="n"/>
      <c r="X64" s="671" t="n"/>
      <c r="Y64" s="671" t="n"/>
      <c r="Z64" s="671" t="n"/>
      <c r="AA64" s="672" t="n"/>
      <c r="AB64" s="135" t="n"/>
      <c r="AC64" s="9" t="n"/>
    </row>
    <row r="65" ht="19.5" customHeight="1">
      <c r="B65" s="187">
        <f>IF(LEN(E65)&gt;1,1,0)</f>
        <v/>
      </c>
      <c r="C65" s="190">
        <f>IF(B65=0,"*","")</f>
        <v/>
      </c>
      <c r="D65" s="241" t="inlineStr">
        <is>
          <t>Número:</t>
        </is>
      </c>
      <c r="E65" s="706" t="inlineStr">
        <is>
          <t>732</t>
        </is>
      </c>
      <c r="F65" s="671" t="n"/>
      <c r="G65" s="671" t="n"/>
      <c r="H65" s="671" t="n"/>
      <c r="I65" s="671" t="n"/>
      <c r="J65" s="671" t="n"/>
      <c r="K65" s="671" t="n"/>
      <c r="L65" s="671" t="n"/>
      <c r="M65" s="671" t="n"/>
      <c r="N65" s="671" t="n"/>
      <c r="O65" s="671" t="n"/>
      <c r="P65" s="671" t="n"/>
      <c r="Q65" s="671" t="n"/>
      <c r="R65" s="671" t="n"/>
      <c r="S65" s="671" t="n"/>
      <c r="T65" s="671" t="n"/>
      <c r="U65" s="671" t="n"/>
      <c r="V65" s="671" t="n"/>
      <c r="W65" s="671" t="n"/>
      <c r="X65" s="671" t="n"/>
      <c r="Y65" s="671" t="n"/>
      <c r="Z65" s="671" t="n"/>
      <c r="AA65" s="672" t="n"/>
      <c r="AB65" s="135" t="n"/>
      <c r="AC65" s="9" t="n"/>
    </row>
    <row r="66" ht="19.5" customHeight="1">
      <c r="B66" s="187">
        <f>IF(LEN(E66)&gt;1,1,0)</f>
        <v/>
      </c>
      <c r="C66" s="190">
        <f>IF(B66=0,"*","")</f>
        <v/>
      </c>
      <c r="D66" s="241" t="inlineStr">
        <is>
          <t>Oficina/Depto;</t>
        </is>
      </c>
      <c r="E66" s="706" t="inlineStr">
        <is>
          <t>Dpto 27 M 59</t>
        </is>
      </c>
      <c r="F66" s="671" t="n"/>
      <c r="G66" s="671" t="n"/>
      <c r="H66" s="671" t="n"/>
      <c r="I66" s="671" t="n"/>
      <c r="J66" s="671" t="n"/>
      <c r="K66" s="671" t="n"/>
      <c r="L66" s="671" t="n"/>
      <c r="M66" s="671" t="n"/>
      <c r="N66" s="671" t="n"/>
      <c r="O66" s="671" t="n"/>
      <c r="P66" s="671" t="n"/>
      <c r="Q66" s="671" t="n"/>
      <c r="R66" s="671" t="n"/>
      <c r="S66" s="671" t="n"/>
      <c r="T66" s="671" t="n"/>
      <c r="U66" s="671" t="n"/>
      <c r="V66" s="671" t="n"/>
      <c r="W66" s="671" t="n"/>
      <c r="X66" s="671" t="n"/>
      <c r="Y66" s="671" t="n"/>
      <c r="Z66" s="671" t="n"/>
      <c r="AA66" s="672" t="n"/>
      <c r="AB66" s="135" t="n"/>
      <c r="AC66" s="9" t="n"/>
    </row>
    <row r="67" ht="19.5" customHeight="1">
      <c r="B67" s="187">
        <f>IF(LEN(E67)&gt;1,1,0)</f>
        <v/>
      </c>
      <c r="C67" s="190">
        <f>IF(B67=0,"*","")</f>
        <v/>
      </c>
      <c r="D67" s="241" t="inlineStr">
        <is>
          <t>Ciudad:</t>
        </is>
      </c>
      <c r="E67" s="706" t="inlineStr">
        <is>
          <t>Santiago del Estero</t>
        </is>
      </c>
      <c r="F67" s="671" t="n"/>
      <c r="G67" s="671" t="n"/>
      <c r="H67" s="671" t="n"/>
      <c r="I67" s="671" t="n"/>
      <c r="J67" s="671" t="n"/>
      <c r="K67" s="671" t="n"/>
      <c r="L67" s="671" t="n"/>
      <c r="M67" s="671" t="n"/>
      <c r="N67" s="671" t="n"/>
      <c r="O67" s="671" t="n"/>
      <c r="P67" s="671" t="n"/>
      <c r="Q67" s="671" t="n"/>
      <c r="R67" s="671" t="n"/>
      <c r="S67" s="671" t="n"/>
      <c r="T67" s="671" t="n"/>
      <c r="U67" s="671" t="n"/>
      <c r="V67" s="671" t="n"/>
      <c r="W67" s="671" t="n"/>
      <c r="X67" s="671" t="n"/>
      <c r="Y67" s="671" t="n"/>
      <c r="Z67" s="671" t="n"/>
      <c r="AA67" s="672" t="n"/>
      <c r="AB67" s="135" t="n"/>
      <c r="AC67" s="9" t="n"/>
    </row>
    <row r="68" ht="19.5" customHeight="1">
      <c r="B68" s="187">
        <f>IF(LEN(E68)&gt;1,1,0)</f>
        <v/>
      </c>
      <c r="C68" s="190">
        <f>IF(B68=0,"*","")</f>
        <v/>
      </c>
      <c r="D68" s="241" t="inlineStr">
        <is>
          <t>Provincia:</t>
        </is>
      </c>
      <c r="E68" s="706" t="inlineStr">
        <is>
          <t>Santiago del Estero</t>
        </is>
      </c>
      <c r="F68" s="671" t="n"/>
      <c r="G68" s="671" t="n"/>
      <c r="H68" s="671" t="n"/>
      <c r="I68" s="671" t="n"/>
      <c r="J68" s="671" t="n"/>
      <c r="K68" s="671" t="n"/>
      <c r="L68" s="671" t="n"/>
      <c r="M68" s="671" t="n"/>
      <c r="N68" s="671" t="n"/>
      <c r="O68" s="671" t="n"/>
      <c r="P68" s="671" t="n"/>
      <c r="Q68" s="671" t="n"/>
      <c r="R68" s="671" t="n"/>
      <c r="S68" s="671" t="n"/>
      <c r="T68" s="671" t="n"/>
      <c r="U68" s="671" t="n"/>
      <c r="V68" s="671" t="n"/>
      <c r="W68" s="671" t="n"/>
      <c r="X68" s="671" t="n"/>
      <c r="Y68" s="671" t="n"/>
      <c r="Z68" s="671" t="n"/>
      <c r="AA68" s="672" t="n"/>
      <c r="AB68" s="135" t="n"/>
      <c r="AC68" s="9" t="n"/>
    </row>
    <row r="69" ht="19.5" customHeight="1">
      <c r="B69" s="187">
        <f>IF(LEN(E69)&gt;1,1,0)</f>
        <v/>
      </c>
      <c r="C69" s="190">
        <f>IF(B69=0,"*","")</f>
        <v/>
      </c>
      <c r="D69" s="241" t="inlineStr">
        <is>
          <t>CP:</t>
        </is>
      </c>
      <c r="E69" s="706" t="inlineStr">
        <is>
          <t>4200</t>
        </is>
      </c>
      <c r="F69" s="671" t="n"/>
      <c r="G69" s="671" t="n"/>
      <c r="H69" s="671" t="n"/>
      <c r="I69" s="671" t="n"/>
      <c r="J69" s="671" t="n"/>
      <c r="K69" s="671" t="n"/>
      <c r="L69" s="671" t="n"/>
      <c r="M69" s="671" t="n"/>
      <c r="N69" s="671" t="n"/>
      <c r="O69" s="671" t="n"/>
      <c r="P69" s="671" t="n"/>
      <c r="Q69" s="671" t="n"/>
      <c r="R69" s="671" t="n"/>
      <c r="S69" s="671" t="n"/>
      <c r="T69" s="671" t="n"/>
      <c r="U69" s="671" t="n"/>
      <c r="V69" s="671" t="n"/>
      <c r="W69" s="671" t="n"/>
      <c r="X69" s="671" t="n"/>
      <c r="Y69" s="671" t="n"/>
      <c r="Z69" s="671" t="n"/>
      <c r="AA69" s="672" t="n"/>
      <c r="AB69" s="135" t="n"/>
      <c r="AC69" s="9" t="n"/>
    </row>
    <row r="70" ht="19.5" customHeight="1">
      <c r="B70" s="187">
        <f>IF(LEN(E70)&gt;1,1,0)</f>
        <v/>
      </c>
      <c r="C70" s="190">
        <f>IF(B70=0,"*","")</f>
        <v/>
      </c>
      <c r="D70" s="241" t="inlineStr">
        <is>
          <t>CPA:</t>
        </is>
      </c>
      <c r="E70" s="706" t="inlineStr">
        <is>
          <t>NA</t>
        </is>
      </c>
      <c r="F70" s="671" t="n"/>
      <c r="G70" s="671" t="n"/>
      <c r="H70" s="671" t="n"/>
      <c r="I70" s="671" t="n"/>
      <c r="J70" s="671" t="n"/>
      <c r="K70" s="671" t="n"/>
      <c r="L70" s="671" t="n"/>
      <c r="M70" s="671" t="n"/>
      <c r="N70" s="671" t="n"/>
      <c r="O70" s="671" t="n"/>
      <c r="P70" s="671" t="n"/>
      <c r="Q70" s="671" t="n"/>
      <c r="R70" s="671" t="n"/>
      <c r="S70" s="671" t="n"/>
      <c r="T70" s="671" t="n"/>
      <c r="U70" s="671" t="n"/>
      <c r="V70" s="671" t="n"/>
      <c r="W70" s="671" t="n"/>
      <c r="X70" s="671" t="n"/>
      <c r="Y70" s="671" t="n"/>
      <c r="Z70" s="671" t="n"/>
      <c r="AA70" s="672" t="n"/>
      <c r="AB70" s="135" t="n"/>
      <c r="AC70" s="9" t="n"/>
    </row>
    <row r="71" ht="19.5" customHeight="1">
      <c r="B71" s="187">
        <f>IF(LEN(E71)&gt;1,1,0)</f>
        <v/>
      </c>
      <c r="C71" s="190">
        <f>IF(B71=0,"*","")</f>
        <v/>
      </c>
      <c r="D71" s="241" t="inlineStr">
        <is>
          <t xml:space="preserve">Pais: </t>
        </is>
      </c>
      <c r="E71" s="706" t="inlineStr">
        <is>
          <t>Argentina</t>
        </is>
      </c>
      <c r="F71" s="671" t="n"/>
      <c r="G71" s="671" t="n"/>
      <c r="H71" s="671" t="n"/>
      <c r="I71" s="671" t="n"/>
      <c r="J71" s="671" t="n"/>
      <c r="K71" s="671" t="n"/>
      <c r="L71" s="671" t="n"/>
      <c r="M71" s="671" t="n"/>
      <c r="N71" s="671" t="n"/>
      <c r="O71" s="671" t="n"/>
      <c r="P71" s="671" t="n"/>
      <c r="Q71" s="671" t="n"/>
      <c r="R71" s="671" t="n"/>
      <c r="S71" s="671" t="n"/>
      <c r="T71" s="671" t="n"/>
      <c r="U71" s="671" t="n"/>
      <c r="V71" s="671" t="n"/>
      <c r="W71" s="671" t="n"/>
      <c r="X71" s="671" t="n"/>
      <c r="Y71" s="671" t="n"/>
      <c r="Z71" s="671" t="n"/>
      <c r="AA71" s="672" t="n"/>
      <c r="AB71" s="135" t="n"/>
      <c r="AC71" s="9" t="n"/>
    </row>
    <row r="72" ht="19.5" customHeight="1">
      <c r="B72" s="187">
        <f>IF(LEN(E72)&gt;1,1,0)</f>
        <v/>
      </c>
      <c r="C72" s="190">
        <f>IF(B72=0,"*","")</f>
        <v/>
      </c>
      <c r="D72" s="241" t="inlineStr">
        <is>
          <t>Teléfono(s):</t>
        </is>
      </c>
      <c r="E72" s="706" t="inlineStr">
        <is>
          <t>+5493854336246</t>
        </is>
      </c>
      <c r="F72" s="671" t="n"/>
      <c r="G72" s="671" t="n"/>
      <c r="H72" s="671" t="n"/>
      <c r="I72" s="671" t="n"/>
      <c r="J72" s="671" t="n"/>
      <c r="K72" s="671" t="n"/>
      <c r="L72" s="671" t="n"/>
      <c r="M72" s="671" t="n"/>
      <c r="N72" s="671" t="n"/>
      <c r="O72" s="671" t="n"/>
      <c r="P72" s="671" t="n"/>
      <c r="Q72" s="671" t="n"/>
      <c r="R72" s="671" t="n"/>
      <c r="S72" s="671" t="n"/>
      <c r="T72" s="671" t="n"/>
      <c r="U72" s="671" t="n"/>
      <c r="V72" s="671" t="n"/>
      <c r="W72" s="671" t="n"/>
      <c r="X72" s="671" t="n"/>
      <c r="Y72" s="671" t="n"/>
      <c r="Z72" s="671" t="n"/>
      <c r="AA72" s="672" t="n"/>
      <c r="AB72" s="135" t="n"/>
      <c r="AC72" s="9" t="n"/>
    </row>
    <row r="73" ht="19.5" customHeight="1">
      <c r="B73" s="187">
        <f>IF(LEN(E73)&gt;1,1,0)</f>
        <v/>
      </c>
      <c r="C73" s="190">
        <f>IF(B73=0,"*","")</f>
        <v/>
      </c>
      <c r="D73" s="241" t="inlineStr">
        <is>
          <t>La dirección operativa actual corresponde a</t>
        </is>
      </c>
      <c r="E73" s="706" t="inlineStr">
        <is>
          <t>Oficina</t>
        </is>
      </c>
      <c r="F73" s="671" t="n"/>
      <c r="G73" s="671" t="n"/>
      <c r="H73" s="672" t="n"/>
      <c r="I73" s="534" t="n"/>
      <c r="J73" s="689" t="n"/>
      <c r="K73" s="689" t="n"/>
      <c r="L73" s="689" t="n"/>
      <c r="M73" s="689" t="n"/>
      <c r="N73" s="689" t="n"/>
      <c r="O73" s="689" t="n"/>
      <c r="P73" s="689" t="n"/>
      <c r="Q73" s="689" t="n"/>
      <c r="R73" s="689" t="n"/>
      <c r="S73" s="689" t="n"/>
      <c r="T73" s="689" t="n"/>
      <c r="U73" s="689" t="n"/>
      <c r="V73" s="689" t="n"/>
      <c r="W73" s="689" t="n"/>
      <c r="X73" s="689" t="n"/>
      <c r="Y73" s="689" t="n"/>
      <c r="Z73" s="689" t="n"/>
      <c r="AA73" s="690" t="n"/>
      <c r="AB73" s="5" t="n"/>
      <c r="AC73" s="9" t="n"/>
    </row>
    <row r="74" ht="19.5" customHeight="1">
      <c r="B74" s="187">
        <f>IF(LEN(E74)&gt;1,1,0)</f>
        <v/>
      </c>
      <c r="C74" s="190">
        <f>IF(B74=0,"*","")</f>
        <v/>
      </c>
      <c r="D74" s="241" t="inlineStr">
        <is>
          <t>Esta instalación</t>
        </is>
      </c>
      <c r="E74" s="705" t="inlineStr">
        <is>
          <t>Se alquila</t>
        </is>
      </c>
      <c r="F74" s="671" t="n"/>
      <c r="G74" s="671" t="n"/>
      <c r="H74" s="672" t="n"/>
      <c r="I74" s="707" t="n"/>
      <c r="J74" s="29" t="n"/>
      <c r="K74" s="29" t="n"/>
      <c r="L74" s="29" t="n"/>
      <c r="M74" s="29" t="n"/>
      <c r="N74" s="29" t="n"/>
      <c r="O74" s="29" t="n"/>
      <c r="P74" s="29" t="n"/>
      <c r="Q74" s="29" t="n"/>
      <c r="R74" s="29" t="n"/>
      <c r="S74" s="29" t="n"/>
      <c r="T74" s="29" t="n"/>
      <c r="U74" s="29" t="n"/>
      <c r="V74" s="29" t="n"/>
      <c r="W74" s="29" t="n"/>
      <c r="X74" s="29" t="n"/>
      <c r="Y74" s="29" t="n"/>
      <c r="Z74" s="29" t="n"/>
      <c r="AA74" s="708" t="n"/>
      <c r="AB74" s="5" t="n"/>
      <c r="AC74" s="9" t="n"/>
    </row>
    <row r="75" ht="19.5" customHeight="1">
      <c r="B75" s="187">
        <f>IF(LEN(E75)&gt;1,1,0)</f>
        <v/>
      </c>
      <c r="C75" s="190">
        <f>IF(B75=0,"*","")</f>
        <v/>
      </c>
      <c r="D75" s="241" t="inlineStr">
        <is>
          <t xml:space="preserve">¿Este ha sido el primer domicilio de la empresa? </t>
        </is>
      </c>
      <c r="E75" s="706" t="inlineStr">
        <is>
          <t>Sí</t>
        </is>
      </c>
      <c r="F75" s="671" t="n"/>
      <c r="G75" s="671" t="n"/>
      <c r="H75" s="672" t="n"/>
      <c r="I75" s="707" t="n"/>
      <c r="J75" s="29" t="n"/>
      <c r="K75" s="29" t="n"/>
      <c r="L75" s="29" t="n"/>
      <c r="M75" s="29" t="n"/>
      <c r="N75" s="29" t="n"/>
      <c r="O75" s="29" t="n"/>
      <c r="P75" s="29" t="n"/>
      <c r="Q75" s="29" t="n"/>
      <c r="R75" s="29" t="n"/>
      <c r="S75" s="29" t="n"/>
      <c r="T75" s="29" t="n"/>
      <c r="U75" s="29" t="n"/>
      <c r="V75" s="29" t="n"/>
      <c r="W75" s="29" t="n"/>
      <c r="X75" s="29" t="n"/>
      <c r="Y75" s="29" t="n"/>
      <c r="Z75" s="29" t="n"/>
      <c r="AA75" s="708" t="n"/>
      <c r="AB75" s="5" t="n"/>
      <c r="AC75" s="9" t="n"/>
    </row>
    <row r="76" ht="19.5" customHeight="1" thickBot="1">
      <c r="B76" s="187">
        <f>IF(LEN(E76)&gt;1,1,0)</f>
        <v/>
      </c>
      <c r="C76" s="190">
        <f>IF(B76=0,"*","")</f>
        <v/>
      </c>
      <c r="D76" s="242" t="inlineStr">
        <is>
          <t xml:space="preserve">Se encuentra en este domicilio desde (año) </t>
        </is>
      </c>
      <c r="E76" s="747" t="n">
        <v>2025</v>
      </c>
      <c r="F76" s="679" t="n"/>
      <c r="G76" s="679" t="n"/>
      <c r="H76" s="680" t="n"/>
      <c r="I76" s="692" t="n"/>
      <c r="J76" s="693" t="n"/>
      <c r="K76" s="693" t="n"/>
      <c r="L76" s="693" t="n"/>
      <c r="M76" s="693" t="n"/>
      <c r="N76" s="693" t="n"/>
      <c r="O76" s="693" t="n"/>
      <c r="P76" s="693" t="n"/>
      <c r="Q76" s="693" t="n"/>
      <c r="R76" s="693" t="n"/>
      <c r="S76" s="693" t="n"/>
      <c r="T76" s="693" t="n"/>
      <c r="U76" s="693" t="n"/>
      <c r="V76" s="693" t="n"/>
      <c r="W76" s="693" t="n"/>
      <c r="X76" s="693" t="n"/>
      <c r="Y76" s="693" t="n"/>
      <c r="Z76" s="693" t="n"/>
      <c r="AA76" s="694" t="n"/>
      <c r="AB76" s="5" t="n"/>
      <c r="AC76" s="9" t="n"/>
    </row>
    <row r="77" ht="39" customHeight="1" thickBot="1">
      <c r="B77" s="187" t="n"/>
      <c r="D77" s="37" t="n"/>
      <c r="E77" s="326" t="n"/>
      <c r="F77" s="326" t="n"/>
      <c r="G77" s="326" t="n"/>
      <c r="H77" s="326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9" t="n"/>
    </row>
    <row r="78" ht="41.4" customHeight="1" thickBot="1">
      <c r="B78" s="187" t="n"/>
      <c r="D78" s="710">
        <f>IF(OR($E$75="Sí",LEN($E$75)&lt;1),"NA","DIRECCIÓN ANTERIOR")</f>
        <v/>
      </c>
      <c r="E78" s="655" t="n"/>
      <c r="F78" s="655" t="n"/>
      <c r="G78" s="655" t="n"/>
      <c r="H78" s="655" t="n"/>
      <c r="I78" s="655" t="n"/>
      <c r="J78" s="655" t="n"/>
      <c r="K78" s="655" t="n"/>
      <c r="L78" s="655" t="n"/>
      <c r="M78" s="655" t="n"/>
      <c r="N78" s="655" t="n"/>
      <c r="O78" s="655" t="n"/>
      <c r="P78" s="655" t="n"/>
      <c r="Q78" s="655" t="n"/>
      <c r="R78" s="655" t="n"/>
      <c r="S78" s="655" t="n"/>
      <c r="T78" s="655" t="n"/>
      <c r="U78" s="655" t="n"/>
      <c r="V78" s="655" t="n"/>
      <c r="W78" s="655" t="n"/>
      <c r="X78" s="655" t="n"/>
      <c r="Y78" s="655" t="n"/>
      <c r="Z78" s="655" t="n"/>
      <c r="AA78" s="656" t="n"/>
      <c r="AB78" s="139" t="n"/>
      <c r="AC78" s="9" t="n"/>
    </row>
    <row r="79">
      <c r="B79" s="187">
        <f>IF(OR($E$75="Sí",LEN($E$75)&lt;1),1,IF(LEN(E79)&gt;1,1,0))</f>
        <v/>
      </c>
      <c r="C79" s="190">
        <f>IF(B79=0,"*","")</f>
        <v/>
      </c>
      <c r="D79" s="95" t="inlineStr">
        <is>
          <t>Calle:</t>
        </is>
      </c>
      <c r="E79" s="682" t="inlineStr">
        <is>
          <t>NA</t>
        </is>
      </c>
      <c r="F79" s="683" t="n"/>
      <c r="G79" s="683" t="n"/>
      <c r="H79" s="683" t="n"/>
      <c r="I79" s="683" t="n"/>
      <c r="J79" s="683" t="n"/>
      <c r="K79" s="683" t="n"/>
      <c r="L79" s="683" t="n"/>
      <c r="M79" s="683" t="n"/>
      <c r="N79" s="683" t="n"/>
      <c r="O79" s="683" t="n"/>
      <c r="P79" s="683" t="n"/>
      <c r="Q79" s="683" t="n"/>
      <c r="R79" s="683" t="n"/>
      <c r="S79" s="683" t="n"/>
      <c r="T79" s="683" t="n"/>
      <c r="U79" s="683" t="n"/>
      <c r="V79" s="683" t="n"/>
      <c r="W79" s="683" t="n"/>
      <c r="X79" s="683" t="n"/>
      <c r="Y79" s="683" t="n"/>
      <c r="Z79" s="683" t="n"/>
      <c r="AA79" s="684" t="n"/>
      <c r="AB79" s="5" t="n"/>
      <c r="AC79" s="9" t="n"/>
    </row>
    <row r="80">
      <c r="B80" s="187">
        <f>IF(OR($E$75="Sí",LEN($E$75)&lt;1),1,IF(LEN(E80)&gt;1,1,0))</f>
        <v/>
      </c>
      <c r="C80" s="190">
        <f>IF(B80=0,"*","")</f>
        <v/>
      </c>
      <c r="D80" s="241" t="inlineStr">
        <is>
          <t>No. Exterior:</t>
        </is>
      </c>
      <c r="E80" s="685" t="inlineStr">
        <is>
          <t>NA</t>
        </is>
      </c>
      <c r="F80" s="671" t="n"/>
      <c r="G80" s="671" t="n"/>
      <c r="H80" s="671" t="n"/>
      <c r="I80" s="671" t="n"/>
      <c r="J80" s="671" t="n"/>
      <c r="K80" s="671" t="n"/>
      <c r="L80" s="671" t="n"/>
      <c r="M80" s="671" t="n"/>
      <c r="N80" s="671" t="n"/>
      <c r="O80" s="671" t="n"/>
      <c r="P80" s="671" t="n"/>
      <c r="Q80" s="671" t="n"/>
      <c r="R80" s="671" t="n"/>
      <c r="S80" s="671" t="n"/>
      <c r="T80" s="671" t="n"/>
      <c r="U80" s="671" t="n"/>
      <c r="V80" s="671" t="n"/>
      <c r="W80" s="671" t="n"/>
      <c r="X80" s="671" t="n"/>
      <c r="Y80" s="671" t="n"/>
      <c r="Z80" s="671" t="n"/>
      <c r="AA80" s="672" t="n"/>
      <c r="AB80" s="5" t="n"/>
      <c r="AC80" s="9" t="n"/>
    </row>
    <row r="81">
      <c r="B81" s="187">
        <f>IF(OR($E$75="Sí",LEN($E$75)&lt;1),1,IF(LEN(E81)&gt;1,1,0))</f>
        <v/>
      </c>
      <c r="C81" s="190">
        <f>IF(B81=0,"*","")</f>
        <v/>
      </c>
      <c r="D81" s="241" t="inlineStr">
        <is>
          <t>No. Interior:</t>
        </is>
      </c>
      <c r="E81" s="685" t="inlineStr">
        <is>
          <t>NA</t>
        </is>
      </c>
      <c r="F81" s="671" t="n"/>
      <c r="G81" s="671" t="n"/>
      <c r="H81" s="671" t="n"/>
      <c r="I81" s="671" t="n"/>
      <c r="J81" s="671" t="n"/>
      <c r="K81" s="671" t="n"/>
      <c r="L81" s="671" t="n"/>
      <c r="M81" s="671" t="n"/>
      <c r="N81" s="671" t="n"/>
      <c r="O81" s="671" t="n"/>
      <c r="P81" s="671" t="n"/>
      <c r="Q81" s="671" t="n"/>
      <c r="R81" s="671" t="n"/>
      <c r="S81" s="671" t="n"/>
      <c r="T81" s="671" t="n"/>
      <c r="U81" s="671" t="n"/>
      <c r="V81" s="671" t="n"/>
      <c r="W81" s="671" t="n"/>
      <c r="X81" s="671" t="n"/>
      <c r="Y81" s="671" t="n"/>
      <c r="Z81" s="671" t="n"/>
      <c r="AA81" s="672" t="n"/>
      <c r="AB81" s="5" t="n"/>
      <c r="AC81" s="9" t="n"/>
    </row>
    <row r="82">
      <c r="B82" s="187">
        <f>IF(OR($E$75="Sí",LEN($E$75)&lt;1),1,IF(LEN(E82)&gt;1,1,0))</f>
        <v/>
      </c>
      <c r="C82" s="190">
        <f>IF(B82=0,"*","")</f>
        <v/>
      </c>
      <c r="D82" s="241" t="inlineStr">
        <is>
          <t>Colonia:</t>
        </is>
      </c>
      <c r="E82" s="685" t="inlineStr">
        <is>
          <t>NA</t>
        </is>
      </c>
      <c r="F82" s="671" t="n"/>
      <c r="G82" s="671" t="n"/>
      <c r="H82" s="671" t="n"/>
      <c r="I82" s="671" t="n"/>
      <c r="J82" s="671" t="n"/>
      <c r="K82" s="671" t="n"/>
      <c r="L82" s="671" t="n"/>
      <c r="M82" s="671" t="n"/>
      <c r="N82" s="671" t="n"/>
      <c r="O82" s="671" t="n"/>
      <c r="P82" s="671" t="n"/>
      <c r="Q82" s="671" t="n"/>
      <c r="R82" s="671" t="n"/>
      <c r="S82" s="671" t="n"/>
      <c r="T82" s="671" t="n"/>
      <c r="U82" s="671" t="n"/>
      <c r="V82" s="671" t="n"/>
      <c r="W82" s="671" t="n"/>
      <c r="X82" s="671" t="n"/>
      <c r="Y82" s="671" t="n"/>
      <c r="Z82" s="671" t="n"/>
      <c r="AA82" s="672" t="n"/>
      <c r="AB82" s="5" t="n"/>
      <c r="AC82" s="9" t="n"/>
    </row>
    <row r="83">
      <c r="B83" s="187">
        <f>IF(OR($E$75="Sí",LEN($E$75)&lt;1),1,IF(LEN(E83)&gt;1,1,0))</f>
        <v/>
      </c>
      <c r="C83" s="190">
        <f>IF(B83=0,"*","")</f>
        <v/>
      </c>
      <c r="D83" s="241" t="inlineStr">
        <is>
          <t>C.P.:</t>
        </is>
      </c>
      <c r="E83" s="685" t="inlineStr">
        <is>
          <t>NA</t>
        </is>
      </c>
      <c r="F83" s="671" t="n"/>
      <c r="G83" s="671" t="n"/>
      <c r="H83" s="671" t="n"/>
      <c r="I83" s="671" t="n"/>
      <c r="J83" s="671" t="n"/>
      <c r="K83" s="671" t="n"/>
      <c r="L83" s="671" t="n"/>
      <c r="M83" s="671" t="n"/>
      <c r="N83" s="671" t="n"/>
      <c r="O83" s="671" t="n"/>
      <c r="P83" s="671" t="n"/>
      <c r="Q83" s="671" t="n"/>
      <c r="R83" s="671" t="n"/>
      <c r="S83" s="671" t="n"/>
      <c r="T83" s="671" t="n"/>
      <c r="U83" s="671" t="n"/>
      <c r="V83" s="671" t="n"/>
      <c r="W83" s="671" t="n"/>
      <c r="X83" s="671" t="n"/>
      <c r="Y83" s="671" t="n"/>
      <c r="Z83" s="671" t="n"/>
      <c r="AA83" s="672" t="n"/>
      <c r="AB83" s="5" t="n"/>
      <c r="AC83" s="9" t="n"/>
    </row>
    <row r="84">
      <c r="B84" s="187">
        <f>IF(OR($E$75="Sí",LEN($E$75)&lt;1),1,IF(LEN(E84)&gt;1,1,0))</f>
        <v/>
      </c>
      <c r="C84" s="190">
        <f>IF(B84=0,"*","")</f>
        <v/>
      </c>
      <c r="D84" s="241" t="inlineStr">
        <is>
          <t>Del. o Municipio:</t>
        </is>
      </c>
      <c r="E84" s="685" t="inlineStr">
        <is>
          <t>NA</t>
        </is>
      </c>
      <c r="F84" s="671" t="n"/>
      <c r="G84" s="671" t="n"/>
      <c r="H84" s="671" t="n"/>
      <c r="I84" s="671" t="n"/>
      <c r="J84" s="671" t="n"/>
      <c r="K84" s="671" t="n"/>
      <c r="L84" s="671" t="n"/>
      <c r="M84" s="671" t="n"/>
      <c r="N84" s="671" t="n"/>
      <c r="O84" s="671" t="n"/>
      <c r="P84" s="671" t="n"/>
      <c r="Q84" s="671" t="n"/>
      <c r="R84" s="671" t="n"/>
      <c r="S84" s="671" t="n"/>
      <c r="T84" s="671" t="n"/>
      <c r="U84" s="671" t="n"/>
      <c r="V84" s="671" t="n"/>
      <c r="W84" s="671" t="n"/>
      <c r="X84" s="671" t="n"/>
      <c r="Y84" s="671" t="n"/>
      <c r="Z84" s="671" t="n"/>
      <c r="AA84" s="672" t="n"/>
      <c r="AB84" s="5" t="n"/>
      <c r="AC84" s="9" t="n"/>
    </row>
    <row r="85">
      <c r="B85" s="187">
        <f>IF(OR($E$75="Sí",LEN($E$75)&lt;1),1,IF(LEN(E85)&gt;1,1,0))</f>
        <v/>
      </c>
      <c r="C85" s="190">
        <f>IF(B85=0,"*","")</f>
        <v/>
      </c>
      <c r="D85" s="241" t="inlineStr">
        <is>
          <t>Ciudad:</t>
        </is>
      </c>
      <c r="E85" s="685" t="inlineStr">
        <is>
          <t>NA</t>
        </is>
      </c>
      <c r="F85" s="671" t="n"/>
      <c r="G85" s="671" t="n"/>
      <c r="H85" s="671" t="n"/>
      <c r="I85" s="671" t="n"/>
      <c r="J85" s="671" t="n"/>
      <c r="K85" s="671" t="n"/>
      <c r="L85" s="671" t="n"/>
      <c r="M85" s="671" t="n"/>
      <c r="N85" s="671" t="n"/>
      <c r="O85" s="671" t="n"/>
      <c r="P85" s="671" t="n"/>
      <c r="Q85" s="671" t="n"/>
      <c r="R85" s="671" t="n"/>
      <c r="S85" s="671" t="n"/>
      <c r="T85" s="671" t="n"/>
      <c r="U85" s="671" t="n"/>
      <c r="V85" s="671" t="n"/>
      <c r="W85" s="671" t="n"/>
      <c r="X85" s="671" t="n"/>
      <c r="Y85" s="671" t="n"/>
      <c r="Z85" s="671" t="n"/>
      <c r="AA85" s="672" t="n"/>
      <c r="AB85" s="5" t="n"/>
      <c r="AC85" s="9" t="n"/>
    </row>
    <row r="86">
      <c r="B86" s="187">
        <f>IF(OR($E$75="Sí",LEN($E$75)&lt;1),1,IF(LEN(E86)&gt;1,1,0))</f>
        <v/>
      </c>
      <c r="C86" s="190">
        <f>IF(B86=0,"*","")</f>
        <v/>
      </c>
      <c r="D86" s="241" t="inlineStr">
        <is>
          <t>Edo.:</t>
        </is>
      </c>
      <c r="E86" s="685" t="inlineStr">
        <is>
          <t>NA</t>
        </is>
      </c>
      <c r="F86" s="671" t="n"/>
      <c r="G86" s="671" t="n"/>
      <c r="H86" s="671" t="n"/>
      <c r="I86" s="671" t="n"/>
      <c r="J86" s="671" t="n"/>
      <c r="K86" s="671" t="n"/>
      <c r="L86" s="671" t="n"/>
      <c r="M86" s="671" t="n"/>
      <c r="N86" s="671" t="n"/>
      <c r="O86" s="671" t="n"/>
      <c r="P86" s="671" t="n"/>
      <c r="Q86" s="671" t="n"/>
      <c r="R86" s="671" t="n"/>
      <c r="S86" s="671" t="n"/>
      <c r="T86" s="671" t="n"/>
      <c r="U86" s="671" t="n"/>
      <c r="V86" s="671" t="n"/>
      <c r="W86" s="671" t="n"/>
      <c r="X86" s="671" t="n"/>
      <c r="Y86" s="671" t="n"/>
      <c r="Z86" s="671" t="n"/>
      <c r="AA86" s="672" t="n"/>
      <c r="AB86" s="5" t="n"/>
      <c r="AC86" s="9" t="n"/>
    </row>
    <row r="87" ht="27" customHeight="1" thickBot="1">
      <c r="B87" s="187">
        <f>IF(OR($E$75="Sí",LEN($E$75)&lt;1),1,IF(LEN(E87)&gt;1,1,0))</f>
        <v/>
      </c>
      <c r="C87" s="190">
        <f>IF(B87=0,"*","")</f>
        <v/>
      </c>
      <c r="D87" s="242" t="inlineStr">
        <is>
          <t xml:space="preserve">Pais: </t>
        </is>
      </c>
      <c r="E87" s="711" t="inlineStr">
        <is>
          <t>NA</t>
        </is>
      </c>
      <c r="F87" s="679" t="n"/>
      <c r="G87" s="679" t="n"/>
      <c r="H87" s="679" t="n"/>
      <c r="I87" s="679" t="n"/>
      <c r="J87" s="679" t="n"/>
      <c r="K87" s="679" t="n"/>
      <c r="L87" s="679" t="n"/>
      <c r="M87" s="679" t="n"/>
      <c r="N87" s="679" t="n"/>
      <c r="O87" s="679" t="n"/>
      <c r="P87" s="679" t="n"/>
      <c r="Q87" s="679" t="n"/>
      <c r="R87" s="679" t="n"/>
      <c r="S87" s="679" t="n"/>
      <c r="T87" s="679" t="n"/>
      <c r="U87" s="679" t="n"/>
      <c r="V87" s="679" t="n"/>
      <c r="W87" s="679" t="n"/>
      <c r="X87" s="679" t="n"/>
      <c r="Y87" s="679" t="n"/>
      <c r="Z87" s="679" t="n"/>
      <c r="AA87" s="680" t="n"/>
      <c r="AB87" s="5" t="n"/>
      <c r="AC87" s="9" t="n"/>
    </row>
    <row r="88" ht="27" customHeight="1" thickBot="1">
      <c r="B88" s="187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9" t="n"/>
    </row>
    <row r="89" ht="37.5" customHeight="1" thickBot="1">
      <c r="B89" s="187" t="n"/>
      <c r="D89" s="710">
        <f>IF(OR($E$63="Sí",LEN($E$63)&lt;1),"NA","DIRECCIÓN FISCAL")</f>
        <v/>
      </c>
      <c r="E89" s="655" t="n"/>
      <c r="F89" s="655" t="n"/>
      <c r="G89" s="655" t="n"/>
      <c r="H89" s="655" t="n"/>
      <c r="I89" s="655" t="n"/>
      <c r="J89" s="655" t="n"/>
      <c r="K89" s="655" t="n"/>
      <c r="L89" s="655" t="n"/>
      <c r="M89" s="655" t="n"/>
      <c r="N89" s="655" t="n"/>
      <c r="O89" s="655" t="n"/>
      <c r="P89" s="655" t="n"/>
      <c r="Q89" s="655" t="n"/>
      <c r="R89" s="655" t="n"/>
      <c r="S89" s="655" t="n"/>
      <c r="T89" s="655" t="n"/>
      <c r="U89" s="655" t="n"/>
      <c r="V89" s="655" t="n"/>
      <c r="W89" s="655" t="n"/>
      <c r="X89" s="655" t="n"/>
      <c r="Y89" s="655" t="n"/>
      <c r="Z89" s="655" t="n"/>
      <c r="AA89" s="656" t="n"/>
      <c r="AB89" s="139" t="n"/>
      <c r="AC89" s="9" t="n"/>
    </row>
    <row r="90" ht="21.9" customHeight="1">
      <c r="B90" s="187">
        <f>IF(OR($E$63="Sí",LEN($E$63)&lt;1),1,IF(LEN(E90)&gt;1,1,0))</f>
        <v/>
      </c>
      <c r="C90" s="190">
        <f>IF(B90=0,"*","")</f>
        <v/>
      </c>
      <c r="D90" s="95" t="inlineStr">
        <is>
          <t>Calle:</t>
        </is>
      </c>
      <c r="E90" s="682" t="inlineStr">
        <is>
          <t>NA</t>
        </is>
      </c>
      <c r="F90" s="683" t="n"/>
      <c r="G90" s="683" t="n"/>
      <c r="H90" s="683" t="n"/>
      <c r="I90" s="683" t="n"/>
      <c r="J90" s="683" t="n"/>
      <c r="K90" s="683" t="n"/>
      <c r="L90" s="683" t="n"/>
      <c r="M90" s="683" t="n"/>
      <c r="N90" s="683" t="n"/>
      <c r="O90" s="683" t="n"/>
      <c r="P90" s="683" t="n"/>
      <c r="Q90" s="683" t="n"/>
      <c r="R90" s="683" t="n"/>
      <c r="S90" s="683" t="n"/>
      <c r="T90" s="683" t="n"/>
      <c r="U90" s="683" t="n"/>
      <c r="V90" s="683" t="n"/>
      <c r="W90" s="683" t="n"/>
      <c r="X90" s="683" t="n"/>
      <c r="Y90" s="683" t="n"/>
      <c r="Z90" s="683" t="n"/>
      <c r="AA90" s="684" t="n"/>
      <c r="AB90" s="5" t="n"/>
      <c r="AC90" s="9" t="n"/>
    </row>
    <row r="91">
      <c r="B91" s="187">
        <f>IF(OR($E$63="Sí",LEN($E$63)&lt;1),1,IF(LEN(E91)&gt;1,1,0))</f>
        <v/>
      </c>
      <c r="C91" s="190">
        <f>IF(B91=0,"*","")</f>
        <v/>
      </c>
      <c r="D91" s="241" t="inlineStr">
        <is>
          <t>No. Exterior:</t>
        </is>
      </c>
      <c r="E91" s="685" t="inlineStr">
        <is>
          <t>NA</t>
        </is>
      </c>
      <c r="F91" s="671" t="n"/>
      <c r="G91" s="671" t="n"/>
      <c r="H91" s="671" t="n"/>
      <c r="I91" s="671" t="n"/>
      <c r="J91" s="671" t="n"/>
      <c r="K91" s="671" t="n"/>
      <c r="L91" s="671" t="n"/>
      <c r="M91" s="671" t="n"/>
      <c r="N91" s="671" t="n"/>
      <c r="O91" s="671" t="n"/>
      <c r="P91" s="671" t="n"/>
      <c r="Q91" s="671" t="n"/>
      <c r="R91" s="671" t="n"/>
      <c r="S91" s="671" t="n"/>
      <c r="T91" s="671" t="n"/>
      <c r="U91" s="671" t="n"/>
      <c r="V91" s="671" t="n"/>
      <c r="W91" s="671" t="n"/>
      <c r="X91" s="671" t="n"/>
      <c r="Y91" s="671" t="n"/>
      <c r="Z91" s="671" t="n"/>
      <c r="AA91" s="672" t="n"/>
      <c r="AB91" s="5" t="n"/>
      <c r="AC91" s="9" t="n"/>
    </row>
    <row r="92">
      <c r="B92" s="187">
        <f>IF(OR($E$63="Sí",LEN($E$63)&lt;1),1,IF(LEN(E92)&gt;1,1,0))</f>
        <v/>
      </c>
      <c r="C92" s="190">
        <f>IF(B92=0,"*","")</f>
        <v/>
      </c>
      <c r="D92" s="241" t="inlineStr">
        <is>
          <t>No. Interior:</t>
        </is>
      </c>
      <c r="E92" s="685" t="inlineStr">
        <is>
          <t>NA</t>
        </is>
      </c>
      <c r="F92" s="671" t="n"/>
      <c r="G92" s="671" t="n"/>
      <c r="H92" s="671" t="n"/>
      <c r="I92" s="671" t="n"/>
      <c r="J92" s="671" t="n"/>
      <c r="K92" s="671" t="n"/>
      <c r="L92" s="671" t="n"/>
      <c r="M92" s="671" t="n"/>
      <c r="N92" s="671" t="n"/>
      <c r="O92" s="671" t="n"/>
      <c r="P92" s="671" t="n"/>
      <c r="Q92" s="671" t="n"/>
      <c r="R92" s="671" t="n"/>
      <c r="S92" s="671" t="n"/>
      <c r="T92" s="671" t="n"/>
      <c r="U92" s="671" t="n"/>
      <c r="V92" s="671" t="n"/>
      <c r="W92" s="671" t="n"/>
      <c r="X92" s="671" t="n"/>
      <c r="Y92" s="671" t="n"/>
      <c r="Z92" s="671" t="n"/>
      <c r="AA92" s="672" t="n"/>
      <c r="AB92" s="5" t="n"/>
      <c r="AC92" s="9" t="n"/>
    </row>
    <row r="93">
      <c r="B93" s="187">
        <f>IF(OR($E$63="Sí",LEN($E$63)&lt;1),1,IF(LEN(E93)&gt;1,1,0))</f>
        <v/>
      </c>
      <c r="C93" s="190">
        <f>IF(B93=0,"*","")</f>
        <v/>
      </c>
      <c r="D93" s="241" t="inlineStr">
        <is>
          <t>Colonia:</t>
        </is>
      </c>
      <c r="E93" s="685" t="inlineStr">
        <is>
          <t>NA</t>
        </is>
      </c>
      <c r="F93" s="671" t="n"/>
      <c r="G93" s="671" t="n"/>
      <c r="H93" s="671" t="n"/>
      <c r="I93" s="671" t="n"/>
      <c r="J93" s="671" t="n"/>
      <c r="K93" s="671" t="n"/>
      <c r="L93" s="671" t="n"/>
      <c r="M93" s="671" t="n"/>
      <c r="N93" s="671" t="n"/>
      <c r="O93" s="671" t="n"/>
      <c r="P93" s="671" t="n"/>
      <c r="Q93" s="671" t="n"/>
      <c r="R93" s="671" t="n"/>
      <c r="S93" s="671" t="n"/>
      <c r="T93" s="671" t="n"/>
      <c r="U93" s="671" t="n"/>
      <c r="V93" s="671" t="n"/>
      <c r="W93" s="671" t="n"/>
      <c r="X93" s="671" t="n"/>
      <c r="Y93" s="671" t="n"/>
      <c r="Z93" s="671" t="n"/>
      <c r="AA93" s="672" t="n"/>
      <c r="AB93" s="5" t="n"/>
      <c r="AC93" s="9" t="n"/>
    </row>
    <row r="94">
      <c r="B94" s="187">
        <f>IF(OR($E$63="Sí",LEN($E$63)&lt;1),1,IF(LEN(E94)&gt;1,1,0))</f>
        <v/>
      </c>
      <c r="C94" s="190">
        <f>IF(B94=0,"*","")</f>
        <v/>
      </c>
      <c r="D94" s="241" t="inlineStr">
        <is>
          <t>C.P.:</t>
        </is>
      </c>
      <c r="E94" s="685" t="inlineStr">
        <is>
          <t>NA</t>
        </is>
      </c>
      <c r="F94" s="671" t="n"/>
      <c r="G94" s="671" t="n"/>
      <c r="H94" s="671" t="n"/>
      <c r="I94" s="671" t="n"/>
      <c r="J94" s="671" t="n"/>
      <c r="K94" s="671" t="n"/>
      <c r="L94" s="671" t="n"/>
      <c r="M94" s="671" t="n"/>
      <c r="N94" s="671" t="n"/>
      <c r="O94" s="671" t="n"/>
      <c r="P94" s="671" t="n"/>
      <c r="Q94" s="671" t="n"/>
      <c r="R94" s="671" t="n"/>
      <c r="S94" s="671" t="n"/>
      <c r="T94" s="671" t="n"/>
      <c r="U94" s="671" t="n"/>
      <c r="V94" s="671" t="n"/>
      <c r="W94" s="671" t="n"/>
      <c r="X94" s="671" t="n"/>
      <c r="Y94" s="671" t="n"/>
      <c r="Z94" s="671" t="n"/>
      <c r="AA94" s="672" t="n"/>
      <c r="AB94" s="5" t="n"/>
      <c r="AC94" s="9" t="n"/>
    </row>
    <row r="95">
      <c r="B95" s="187">
        <f>IF(OR($E$63="Sí",LEN($E$63)&lt;1),1,IF(LEN(E95)&gt;1,1,0))</f>
        <v/>
      </c>
      <c r="C95" s="190">
        <f>IF(B95=0,"*","")</f>
        <v/>
      </c>
      <c r="D95" s="241" t="inlineStr">
        <is>
          <t>Del. o Municipio:</t>
        </is>
      </c>
      <c r="E95" s="685" t="inlineStr">
        <is>
          <t>NA</t>
        </is>
      </c>
      <c r="F95" s="671" t="n"/>
      <c r="G95" s="671" t="n"/>
      <c r="H95" s="671" t="n"/>
      <c r="I95" s="671" t="n"/>
      <c r="J95" s="671" t="n"/>
      <c r="K95" s="671" t="n"/>
      <c r="L95" s="671" t="n"/>
      <c r="M95" s="671" t="n"/>
      <c r="N95" s="671" t="n"/>
      <c r="O95" s="671" t="n"/>
      <c r="P95" s="671" t="n"/>
      <c r="Q95" s="671" t="n"/>
      <c r="R95" s="671" t="n"/>
      <c r="S95" s="671" t="n"/>
      <c r="T95" s="671" t="n"/>
      <c r="U95" s="671" t="n"/>
      <c r="V95" s="671" t="n"/>
      <c r="W95" s="671" t="n"/>
      <c r="X95" s="671" t="n"/>
      <c r="Y95" s="671" t="n"/>
      <c r="Z95" s="671" t="n"/>
      <c r="AA95" s="672" t="n"/>
      <c r="AB95" s="5" t="n"/>
      <c r="AC95" s="9" t="n"/>
    </row>
    <row r="96">
      <c r="B96" s="187">
        <f>IF(OR($E$63="Sí",LEN($E$63)&lt;1),1,IF(LEN(E96)&gt;1,1,0))</f>
        <v/>
      </c>
      <c r="C96" s="190">
        <f>IF(B96=0,"*","")</f>
        <v/>
      </c>
      <c r="D96" s="241" t="inlineStr">
        <is>
          <t>Ciudad:</t>
        </is>
      </c>
      <c r="E96" s="685" t="inlineStr">
        <is>
          <t>NA</t>
        </is>
      </c>
      <c r="F96" s="671" t="n"/>
      <c r="G96" s="671" t="n"/>
      <c r="H96" s="671" t="n"/>
      <c r="I96" s="671" t="n"/>
      <c r="J96" s="671" t="n"/>
      <c r="K96" s="671" t="n"/>
      <c r="L96" s="671" t="n"/>
      <c r="M96" s="671" t="n"/>
      <c r="N96" s="671" t="n"/>
      <c r="O96" s="671" t="n"/>
      <c r="P96" s="671" t="n"/>
      <c r="Q96" s="671" t="n"/>
      <c r="R96" s="671" t="n"/>
      <c r="S96" s="671" t="n"/>
      <c r="T96" s="671" t="n"/>
      <c r="U96" s="671" t="n"/>
      <c r="V96" s="671" t="n"/>
      <c r="W96" s="671" t="n"/>
      <c r="X96" s="671" t="n"/>
      <c r="Y96" s="671" t="n"/>
      <c r="Z96" s="671" t="n"/>
      <c r="AA96" s="672" t="n"/>
      <c r="AB96" s="5" t="n"/>
      <c r="AC96" s="9" t="n"/>
    </row>
    <row r="97">
      <c r="B97" s="187">
        <f>IF(OR($E$63="Sí",LEN($E$63)&lt;1),1,IF(LEN(E97)&gt;1,1,0))</f>
        <v/>
      </c>
      <c r="C97" s="190">
        <f>IF(B97=0,"*","")</f>
        <v/>
      </c>
      <c r="D97" s="241" t="inlineStr">
        <is>
          <t>Edo.:</t>
        </is>
      </c>
      <c r="E97" s="685" t="inlineStr">
        <is>
          <t>NA</t>
        </is>
      </c>
      <c r="F97" s="671" t="n"/>
      <c r="G97" s="671" t="n"/>
      <c r="H97" s="671" t="n"/>
      <c r="I97" s="671" t="n"/>
      <c r="J97" s="671" t="n"/>
      <c r="K97" s="671" t="n"/>
      <c r="L97" s="671" t="n"/>
      <c r="M97" s="671" t="n"/>
      <c r="N97" s="671" t="n"/>
      <c r="O97" s="671" t="n"/>
      <c r="P97" s="671" t="n"/>
      <c r="Q97" s="671" t="n"/>
      <c r="R97" s="671" t="n"/>
      <c r="S97" s="671" t="n"/>
      <c r="T97" s="671" t="n"/>
      <c r="U97" s="671" t="n"/>
      <c r="V97" s="671" t="n"/>
      <c r="W97" s="671" t="n"/>
      <c r="X97" s="671" t="n"/>
      <c r="Y97" s="671" t="n"/>
      <c r="Z97" s="671" t="n"/>
      <c r="AA97" s="672" t="n"/>
      <c r="AB97" s="5" t="n"/>
      <c r="AC97" s="9" t="n"/>
    </row>
    <row r="98">
      <c r="B98" s="187">
        <f>IF(OR($E$63="Sí",LEN($E$63)&lt;1),1,IF(LEN(E98)&gt;1,1,0))</f>
        <v/>
      </c>
      <c r="C98" s="190">
        <f>IF(B98=0,"*","")</f>
        <v/>
      </c>
      <c r="D98" s="241" t="inlineStr">
        <is>
          <t xml:space="preserve">Pais: </t>
        </is>
      </c>
      <c r="E98" s="685" t="inlineStr">
        <is>
          <t>NA</t>
        </is>
      </c>
      <c r="F98" s="671" t="n"/>
      <c r="G98" s="671" t="n"/>
      <c r="H98" s="671" t="n"/>
      <c r="I98" s="671" t="n"/>
      <c r="J98" s="671" t="n"/>
      <c r="K98" s="671" t="n"/>
      <c r="L98" s="671" t="n"/>
      <c r="M98" s="671" t="n"/>
      <c r="N98" s="671" t="n"/>
      <c r="O98" s="671" t="n"/>
      <c r="P98" s="671" t="n"/>
      <c r="Q98" s="671" t="n"/>
      <c r="R98" s="671" t="n"/>
      <c r="S98" s="671" t="n"/>
      <c r="T98" s="671" t="n"/>
      <c r="U98" s="671" t="n"/>
      <c r="V98" s="671" t="n"/>
      <c r="W98" s="671" t="n"/>
      <c r="X98" s="671" t="n"/>
      <c r="Y98" s="671" t="n"/>
      <c r="Z98" s="671" t="n"/>
      <c r="AA98" s="672" t="n"/>
      <c r="AB98" s="5" t="n"/>
      <c r="AC98" s="9" t="n"/>
    </row>
    <row r="99" ht="27" customHeight="1" thickBot="1">
      <c r="B99" s="187">
        <f>IF(OR($E$63="Sí",LEN($E$63)&lt;1),1,IF(LEN(E99)&gt;1,1,0))</f>
        <v/>
      </c>
      <c r="C99" s="190">
        <f>IF(B99=0,"*","")</f>
        <v/>
      </c>
      <c r="D99" s="242" t="inlineStr">
        <is>
          <t>Teléfono(s):</t>
        </is>
      </c>
      <c r="E99" s="711" t="inlineStr">
        <is>
          <t>NA</t>
        </is>
      </c>
      <c r="F99" s="679" t="n"/>
      <c r="G99" s="679" t="n"/>
      <c r="H99" s="679" t="n"/>
      <c r="I99" s="679" t="n"/>
      <c r="J99" s="679" t="n"/>
      <c r="K99" s="679" t="n"/>
      <c r="L99" s="679" t="n"/>
      <c r="M99" s="679" t="n"/>
      <c r="N99" s="679" t="n"/>
      <c r="O99" s="679" t="n"/>
      <c r="P99" s="679" t="n"/>
      <c r="Q99" s="679" t="n"/>
      <c r="R99" s="679" t="n"/>
      <c r="S99" s="679" t="n"/>
      <c r="T99" s="679" t="n"/>
      <c r="U99" s="679" t="n"/>
      <c r="V99" s="679" t="n"/>
      <c r="W99" s="679" t="n"/>
      <c r="X99" s="679" t="n"/>
      <c r="Y99" s="679" t="n"/>
      <c r="Z99" s="679" t="n"/>
      <c r="AA99" s="680" t="n"/>
      <c r="AB99" s="5" t="n"/>
      <c r="AC99" s="9" t="n"/>
    </row>
    <row r="100" ht="27" customHeight="1" thickBot="1">
      <c r="B100" s="187" t="n"/>
      <c r="D100" s="37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9" t="n"/>
    </row>
    <row r="101" ht="38.1" customFormat="1" customHeight="1" s="40" thickBot="1">
      <c r="B101" s="187">
        <f>SUM(B102:B158)/COUNT(B102:B158)</f>
        <v/>
      </c>
      <c r="C101" s="190">
        <f>IF(B101=0,"*","")</f>
        <v/>
      </c>
      <c r="D101" s="712" t="inlineStr">
        <is>
          <t>DATOS DE CONSTITUCIÓN DE LA EMPRESA</t>
        </is>
      </c>
      <c r="E101" s="655" t="n"/>
      <c r="F101" s="655" t="n"/>
      <c r="G101" s="655" t="n"/>
      <c r="H101" s="655" t="n"/>
      <c r="I101" s="655" t="n"/>
      <c r="J101" s="655" t="n"/>
      <c r="K101" s="655" t="n"/>
      <c r="L101" s="655" t="n"/>
      <c r="M101" s="655" t="n"/>
      <c r="N101" s="655" t="n"/>
      <c r="O101" s="655" t="n"/>
      <c r="P101" s="655" t="n"/>
      <c r="Q101" s="655" t="n"/>
      <c r="R101" s="655" t="n"/>
      <c r="S101" s="655" t="n"/>
      <c r="T101" s="655" t="n"/>
      <c r="U101" s="655" t="n"/>
      <c r="V101" s="655" t="n"/>
      <c r="W101" s="655" t="n"/>
      <c r="X101" s="655" t="n"/>
      <c r="Y101" s="655" t="n"/>
      <c r="Z101" s="655" t="n"/>
      <c r="AA101" s="656" t="n"/>
      <c r="AB101" s="113" t="n"/>
      <c r="AC101" s="39" t="n"/>
    </row>
    <row r="102" ht="21" customHeight="1">
      <c r="B102" s="187">
        <f>IF(OR(E48="Persona Física",LEN(E48)&lt;1),1,IF(LEN(E102)&gt;1,1,0))</f>
        <v/>
      </c>
      <c r="C102" s="190">
        <f>IF(B102=0,"*","")</f>
        <v/>
      </c>
      <c r="D102" s="33">
        <f>IF(OR(E48="Persona Física",LEN(E48)&lt;1),"","Razón social origiinal:")</f>
        <v/>
      </c>
      <c r="E102" s="713" t="inlineStr">
        <is>
          <t>NA</t>
        </is>
      </c>
      <c r="F102" s="668" t="n"/>
      <c r="G102" s="668" t="n"/>
      <c r="H102" s="668" t="n"/>
      <c r="I102" s="668" t="n"/>
      <c r="J102" s="668" t="n"/>
      <c r="K102" s="668" t="n"/>
      <c r="L102" s="668" t="n"/>
      <c r="M102" s="668" t="n"/>
      <c r="N102" s="668" t="n"/>
      <c r="O102" s="668" t="n"/>
      <c r="P102" s="668" t="n"/>
      <c r="Q102" s="668" t="n"/>
      <c r="R102" s="668" t="n"/>
      <c r="S102" s="668" t="n"/>
      <c r="T102" s="668" t="n"/>
      <c r="U102" s="668" t="n"/>
      <c r="V102" s="668" t="n"/>
      <c r="W102" s="668" t="n"/>
      <c r="X102" s="668" t="n"/>
      <c r="Y102" s="668" t="n"/>
      <c r="Z102" s="668" t="n"/>
      <c r="AA102" s="669" t="n"/>
      <c r="AB102" s="5" t="n"/>
      <c r="AC102" s="9" t="n"/>
    </row>
    <row r="103">
      <c r="B103" s="187">
        <f>IF(LEN(E103)&gt;1,1,0)</f>
        <v/>
      </c>
      <c r="C103" s="190">
        <f>IF(B103=0,"*","")</f>
        <v/>
      </c>
      <c r="D103" s="241" t="inlineStr">
        <is>
          <t>Fundada en: (Ciudad, Provincia)</t>
        </is>
      </c>
      <c r="E103" s="685" t="inlineStr">
        <is>
          <t>Santiago del Estero, Santiago del Estero</t>
        </is>
      </c>
      <c r="F103" s="671" t="n"/>
      <c r="G103" s="671" t="n"/>
      <c r="H103" s="671" t="n"/>
      <c r="I103" s="671" t="n"/>
      <c r="J103" s="671" t="n"/>
      <c r="K103" s="671" t="n"/>
      <c r="L103" s="671" t="n"/>
      <c r="M103" s="671" t="n"/>
      <c r="N103" s="671" t="n"/>
      <c r="O103" s="671" t="n"/>
      <c r="P103" s="671" t="n"/>
      <c r="Q103" s="671" t="n"/>
      <c r="R103" s="671" t="n"/>
      <c r="S103" s="671" t="n"/>
      <c r="T103" s="671" t="n"/>
      <c r="U103" s="671" t="n"/>
      <c r="V103" s="671" t="n"/>
      <c r="W103" s="671" t="n"/>
      <c r="X103" s="671" t="n"/>
      <c r="Y103" s="671" t="n"/>
      <c r="Z103" s="671" t="n"/>
      <c r="AA103" s="672" t="n"/>
      <c r="AB103" s="135" t="n"/>
      <c r="AC103" s="9" t="n"/>
    </row>
    <row r="104">
      <c r="B104" s="187">
        <f>IF(LEN(E104)&gt;1,1,0)</f>
        <v/>
      </c>
      <c r="C104" s="190">
        <f>IF(B104=0,"*","")</f>
        <v/>
      </c>
      <c r="D104" s="241" t="inlineStr">
        <is>
          <t>Fecha de constitución ( DD/MM/AAAA)</t>
        </is>
      </c>
      <c r="E104" s="843" t="inlineStr">
        <is>
          <t>01/08/2025</t>
        </is>
      </c>
      <c r="F104" s="671" t="n"/>
      <c r="G104" s="671" t="n"/>
      <c r="H104" s="671" t="n"/>
      <c r="I104" s="671" t="n"/>
      <c r="J104" s="671" t="n"/>
      <c r="K104" s="671" t="n"/>
      <c r="L104" s="671" t="n"/>
      <c r="M104" s="671" t="n"/>
      <c r="N104" s="671" t="n"/>
      <c r="O104" s="671" t="n"/>
      <c r="P104" s="671" t="n"/>
      <c r="Q104" s="671" t="n"/>
      <c r="R104" s="671" t="n"/>
      <c r="S104" s="671" t="n"/>
      <c r="T104" s="671" t="n"/>
      <c r="U104" s="671" t="n"/>
      <c r="V104" s="671" t="n"/>
      <c r="W104" s="671" t="n"/>
      <c r="X104" s="671" t="n"/>
      <c r="Y104" s="671" t="n"/>
      <c r="Z104" s="671" t="n"/>
      <c r="AA104" s="699" t="n"/>
      <c r="AB104" s="140" t="n"/>
      <c r="AC104" s="9" t="n"/>
    </row>
    <row r="105">
      <c r="B105" s="187">
        <f>IF(LEN(E105)&gt;1,1,0)</f>
        <v/>
      </c>
      <c r="C105" s="190">
        <f>IF(B105=0,"*","")</f>
        <v/>
      </c>
      <c r="D105" s="241" t="inlineStr">
        <is>
          <t>Fecha de inscripción ( DD/MM/AAAA)</t>
        </is>
      </c>
      <c r="E105" s="843" t="inlineStr">
        <is>
          <t>01/08/2025</t>
        </is>
      </c>
      <c r="F105" s="671" t="n"/>
      <c r="G105" s="671" t="n"/>
      <c r="H105" s="671" t="n"/>
      <c r="I105" s="671" t="n"/>
      <c r="J105" s="671" t="n"/>
      <c r="K105" s="671" t="n"/>
      <c r="L105" s="671" t="n"/>
      <c r="M105" s="671" t="n"/>
      <c r="N105" s="671" t="n"/>
      <c r="O105" s="671" t="n"/>
      <c r="P105" s="671" t="n"/>
      <c r="Q105" s="671" t="n"/>
      <c r="R105" s="671" t="n"/>
      <c r="S105" s="671" t="n"/>
      <c r="T105" s="671" t="n"/>
      <c r="U105" s="671" t="n"/>
      <c r="V105" s="671" t="n"/>
      <c r="W105" s="671" t="n"/>
      <c r="X105" s="671" t="n"/>
      <c r="Y105" s="671" t="n"/>
      <c r="Z105" s="671" t="n"/>
      <c r="AA105" s="699" t="n"/>
      <c r="AB105" s="140" t="n"/>
      <c r="AC105" s="9" t="n"/>
    </row>
    <row r="106">
      <c r="B106" s="187">
        <f>IF(LEN(E106)&gt;1,1,0)</f>
        <v/>
      </c>
      <c r="C106" s="190">
        <f>IF(B106=0,"*","")</f>
        <v/>
      </c>
      <c r="D106" s="241" t="inlineStr">
        <is>
          <t>Número de escritura, folio y libro:</t>
        </is>
      </c>
      <c r="E106" s="715" t="inlineStr">
        <is>
          <t>NA</t>
        </is>
      </c>
      <c r="F106" s="671" t="n"/>
      <c r="G106" s="671" t="n"/>
      <c r="H106" s="671" t="n"/>
      <c r="I106" s="671" t="n"/>
      <c r="J106" s="671" t="n"/>
      <c r="K106" s="671" t="n"/>
      <c r="L106" s="671" t="n"/>
      <c r="M106" s="671" t="n"/>
      <c r="N106" s="671" t="n"/>
      <c r="O106" s="671" t="n"/>
      <c r="P106" s="671" t="n"/>
      <c r="Q106" s="671" t="n"/>
      <c r="R106" s="671" t="n"/>
      <c r="S106" s="671" t="n"/>
      <c r="T106" s="671" t="n"/>
      <c r="U106" s="671" t="n"/>
      <c r="V106" s="671" t="n"/>
      <c r="W106" s="671" t="n"/>
      <c r="X106" s="671" t="n"/>
      <c r="Y106" s="671" t="n"/>
      <c r="Z106" s="671" t="n"/>
      <c r="AA106" s="699" t="n"/>
      <c r="AB106" s="140" t="n"/>
      <c r="AC106" s="9" t="n"/>
    </row>
    <row r="107">
      <c r="B107" s="187">
        <f>IF(OR($E$48="Persona moral",LEN($E$48)&lt;1),1,IF(LEN(E107)&gt;1,1,0))</f>
        <v/>
      </c>
      <c r="C107" s="190">
        <f>IF(B107=0,"*","")</f>
        <v/>
      </c>
      <c r="D107" s="241" t="inlineStr">
        <is>
          <t>Modificaciones de Estatuto:</t>
        </is>
      </c>
      <c r="E107" s="716" t="inlineStr">
        <is>
          <t>NA</t>
        </is>
      </c>
      <c r="F107" s="671" t="n"/>
      <c r="G107" s="671" t="n"/>
      <c r="H107" s="671" t="n"/>
      <c r="I107" s="671" t="n"/>
      <c r="J107" s="671" t="n"/>
      <c r="K107" s="671" t="n"/>
      <c r="L107" s="671" t="n"/>
      <c r="M107" s="671" t="n"/>
      <c r="N107" s="671" t="n"/>
      <c r="O107" s="671" t="n"/>
      <c r="P107" s="671" t="n"/>
      <c r="Q107" s="671" t="n"/>
      <c r="R107" s="671" t="n"/>
      <c r="S107" s="671" t="n"/>
      <c r="T107" s="671" t="n"/>
      <c r="U107" s="671" t="n"/>
      <c r="V107" s="671" t="n"/>
      <c r="W107" s="671" t="n"/>
      <c r="X107" s="671" t="n"/>
      <c r="Y107" s="671" t="n"/>
      <c r="Z107" s="671" t="n"/>
      <c r="AA107" s="699" t="n"/>
      <c r="AB107" s="140" t="n"/>
      <c r="AC107" s="9" t="n"/>
    </row>
    <row r="108" ht="48.6" customHeight="1">
      <c r="B108" s="187">
        <f>IF(OR($E$48="Persona Física",LEN($E$48)&lt;1),1,IF(LEN(E108)&gt;0,1,0))</f>
        <v/>
      </c>
      <c r="C108" s="190">
        <f>IF(B108=0,"*","")</f>
        <v/>
      </c>
      <c r="D108" s="241" t="inlineStr">
        <is>
          <t>Objeto social:</t>
        </is>
      </c>
      <c r="E108" s="717" t="inlineStr">
        <is>
          <t>Desarrollo y comercializacion de software y servicios digitales para el sector de la salud (plataforma Bioenlace: gestion de turnos, historia clinica, teleconsulta y asistente clinico).</t>
        </is>
      </c>
      <c r="F108" s="671" t="n"/>
      <c r="G108" s="671" t="n"/>
      <c r="H108" s="671" t="n"/>
      <c r="I108" s="671" t="n"/>
      <c r="J108" s="671" t="n"/>
      <c r="K108" s="671" t="n"/>
      <c r="L108" s="671" t="n"/>
      <c r="M108" s="671" t="n"/>
      <c r="N108" s="671" t="n"/>
      <c r="O108" s="671" t="n"/>
      <c r="P108" s="671" t="n"/>
      <c r="Q108" s="671" t="n"/>
      <c r="R108" s="671" t="n"/>
      <c r="S108" s="671" t="n"/>
      <c r="T108" s="671" t="n"/>
      <c r="U108" s="671" t="n"/>
      <c r="V108" s="671" t="n"/>
      <c r="W108" s="671" t="n"/>
      <c r="X108" s="671" t="n"/>
      <c r="Y108" s="671" t="n"/>
      <c r="Z108" s="671" t="n"/>
      <c r="AA108" s="672" t="n"/>
      <c r="AB108" s="587" t="n"/>
      <c r="AC108" s="9" t="n"/>
    </row>
    <row r="109">
      <c r="B109" s="187">
        <f>IF(OR($E$48="Persona Física",LEN($E$48)&lt;1),1,IF(LEN(E109)&gt;0,1,0))</f>
        <v/>
      </c>
      <c r="C109" s="190">
        <f>IF(B109=0,"*","")</f>
        <v/>
      </c>
      <c r="D109" s="241">
        <f>IF(OR(E48="Persona Física",LEN(E48)&lt;1),"","No. de notaría:")</f>
        <v/>
      </c>
      <c r="E109" s="685" t="inlineStr">
        <is>
          <t>NA</t>
        </is>
      </c>
      <c r="F109" s="671" t="n"/>
      <c r="G109" s="671" t="n"/>
      <c r="H109" s="671" t="n"/>
      <c r="I109" s="671" t="n"/>
      <c r="J109" s="671" t="n"/>
      <c r="K109" s="671" t="n"/>
      <c r="L109" s="671" t="n"/>
      <c r="M109" s="671" t="n"/>
      <c r="N109" s="671" t="n"/>
      <c r="O109" s="671" t="n"/>
      <c r="P109" s="671" t="n"/>
      <c r="Q109" s="671" t="n"/>
      <c r="R109" s="671" t="n"/>
      <c r="S109" s="671" t="n"/>
      <c r="T109" s="671" t="n"/>
      <c r="U109" s="671" t="n"/>
      <c r="V109" s="671" t="n"/>
      <c r="W109" s="671" t="n"/>
      <c r="X109" s="671" t="n"/>
      <c r="Y109" s="671" t="n"/>
      <c r="Z109" s="671" t="n"/>
      <c r="AA109" s="672" t="n"/>
      <c r="AB109" s="135" t="n"/>
      <c r="AC109" s="9" t="n"/>
    </row>
    <row r="110">
      <c r="B110" s="187">
        <f>IF(OR($E$48="Persona Física",LEN($E$48)&lt;1),1,IF(LEN(E110)&gt;0,1,0))</f>
        <v/>
      </c>
      <c r="C110" s="190">
        <f>IF(B110=0,"*","")</f>
        <v/>
      </c>
      <c r="D110" s="241">
        <f>IF(OR(E48="Persona Física",LEN(E48)&lt;1),"","No. de escritura:")</f>
        <v/>
      </c>
      <c r="E110" s="685" t="inlineStr">
        <is>
          <t>NA</t>
        </is>
      </c>
      <c r="F110" s="671" t="n"/>
      <c r="G110" s="671" t="n"/>
      <c r="H110" s="671" t="n"/>
      <c r="I110" s="671" t="n"/>
      <c r="J110" s="671" t="n"/>
      <c r="K110" s="671" t="n"/>
      <c r="L110" s="671" t="n"/>
      <c r="M110" s="671" t="n"/>
      <c r="N110" s="671" t="n"/>
      <c r="O110" s="671" t="n"/>
      <c r="P110" s="671" t="n"/>
      <c r="Q110" s="671" t="n"/>
      <c r="R110" s="671" t="n"/>
      <c r="S110" s="671" t="n"/>
      <c r="T110" s="671" t="n"/>
      <c r="U110" s="671" t="n"/>
      <c r="V110" s="671" t="n"/>
      <c r="W110" s="671" t="n"/>
      <c r="X110" s="671" t="n"/>
      <c r="Y110" s="671" t="n"/>
      <c r="Z110" s="671" t="n"/>
      <c r="AA110" s="672" t="n"/>
      <c r="AB110" s="135" t="n"/>
      <c r="AC110" s="9" t="n"/>
    </row>
    <row r="111">
      <c r="B111" s="187">
        <f>IF(OR($E$48="Persona Física",LEN($E$48)&lt;1),1,IF(LEN(E111)&gt;0,1,0))</f>
        <v/>
      </c>
      <c r="C111" s="190">
        <f>IF(B111=0,"*","")</f>
        <v/>
      </c>
      <c r="D111" s="241">
        <f>IF(OR(E48="Persona Física",LEN(E48)&lt;1),"","Folio:")</f>
        <v/>
      </c>
      <c r="E111" s="685" t="inlineStr">
        <is>
          <t>NA</t>
        </is>
      </c>
      <c r="F111" s="671" t="n"/>
      <c r="G111" s="671" t="n"/>
      <c r="H111" s="671" t="n"/>
      <c r="I111" s="671" t="n"/>
      <c r="J111" s="671" t="n"/>
      <c r="K111" s="671" t="n"/>
      <c r="L111" s="671" t="n"/>
      <c r="M111" s="671" t="n"/>
      <c r="N111" s="671" t="n"/>
      <c r="O111" s="671" t="n"/>
      <c r="P111" s="671" t="n"/>
      <c r="Q111" s="671" t="n"/>
      <c r="R111" s="671" t="n"/>
      <c r="S111" s="671" t="n"/>
      <c r="T111" s="671" t="n"/>
      <c r="U111" s="671" t="n"/>
      <c r="V111" s="671" t="n"/>
      <c r="W111" s="671" t="n"/>
      <c r="X111" s="671" t="n"/>
      <c r="Y111" s="671" t="n"/>
      <c r="Z111" s="671" t="n"/>
      <c r="AA111" s="672" t="n"/>
      <c r="AB111" s="135" t="n"/>
      <c r="AC111" s="9" t="n"/>
    </row>
    <row r="112">
      <c r="B112" s="187">
        <f>IF(OR($E$48="Persona Física",LEN($E$48)&lt;1),1,IF(LEN(E112)&gt;0,1,0))</f>
        <v/>
      </c>
      <c r="C112" s="190">
        <f>IF(B112=0,"*","")</f>
        <v/>
      </c>
      <c r="D112" s="241">
        <f>IF(OR(E48="Persona Física",LEN(E48)&lt;1),"","Libro:")</f>
        <v/>
      </c>
      <c r="E112" s="685" t="inlineStr">
        <is>
          <t>NA</t>
        </is>
      </c>
      <c r="F112" s="671" t="n"/>
      <c r="G112" s="671" t="n"/>
      <c r="H112" s="671" t="n"/>
      <c r="I112" s="671" t="n"/>
      <c r="J112" s="671" t="n"/>
      <c r="K112" s="671" t="n"/>
      <c r="L112" s="671" t="n"/>
      <c r="M112" s="671" t="n"/>
      <c r="N112" s="671" t="n"/>
      <c r="O112" s="671" t="n"/>
      <c r="P112" s="671" t="n"/>
      <c r="Q112" s="671" t="n"/>
      <c r="R112" s="671" t="n"/>
      <c r="S112" s="671" t="n"/>
      <c r="T112" s="671" t="n"/>
      <c r="U112" s="671" t="n"/>
      <c r="V112" s="671" t="n"/>
      <c r="W112" s="671" t="n"/>
      <c r="X112" s="671" t="n"/>
      <c r="Y112" s="671" t="n"/>
      <c r="Z112" s="671" t="n"/>
      <c r="AA112" s="672" t="n"/>
      <c r="AB112" s="135" t="n"/>
      <c r="AC112" s="9" t="n"/>
    </row>
    <row r="113">
      <c r="B113" s="187">
        <f>IF(OR($E$48="Persona Física",LEN($E$48)&lt;1),1,IF(LEN(E113)&gt;0,1,0))</f>
        <v/>
      </c>
      <c r="C113" s="190">
        <f>IF(B113=0,"*","")</f>
        <v/>
      </c>
      <c r="D113" s="241">
        <f>IF(OR(E48="Persona Física",LEN(E48)&lt;1),"","Volumen:")</f>
        <v/>
      </c>
      <c r="E113" s="685" t="inlineStr">
        <is>
          <t>NA</t>
        </is>
      </c>
      <c r="F113" s="671" t="n"/>
      <c r="G113" s="671" t="n"/>
      <c r="H113" s="671" t="n"/>
      <c r="I113" s="671" t="n"/>
      <c r="J113" s="671" t="n"/>
      <c r="K113" s="671" t="n"/>
      <c r="L113" s="671" t="n"/>
      <c r="M113" s="671" t="n"/>
      <c r="N113" s="671" t="n"/>
      <c r="O113" s="671" t="n"/>
      <c r="P113" s="671" t="n"/>
      <c r="Q113" s="671" t="n"/>
      <c r="R113" s="671" t="n"/>
      <c r="S113" s="671" t="n"/>
      <c r="T113" s="671" t="n"/>
      <c r="U113" s="671" t="n"/>
      <c r="V113" s="671" t="n"/>
      <c r="W113" s="671" t="n"/>
      <c r="X113" s="671" t="n"/>
      <c r="Y113" s="671" t="n"/>
      <c r="Z113" s="671" t="n"/>
      <c r="AA113" s="672" t="n"/>
      <c r="AB113" s="135" t="n"/>
      <c r="AC113" s="9" t="n"/>
    </row>
    <row r="114">
      <c r="B114" s="187">
        <f>IF(OR($E$48="Persona Física",LEN($E$48)&lt;1),1,IF(LEN(E114)&gt;0,1,0))</f>
        <v/>
      </c>
      <c r="C114" s="190">
        <f>IF(B114=0,"*","")</f>
        <v/>
      </c>
      <c r="D114" s="241">
        <f>IF(OR(E48="Persona Física",LEN(E48)&lt;1),"","Fojas:")</f>
        <v/>
      </c>
      <c r="E114" s="685" t="inlineStr">
        <is>
          <t>NA</t>
        </is>
      </c>
      <c r="F114" s="671" t="n"/>
      <c r="G114" s="671" t="n"/>
      <c r="H114" s="671" t="n"/>
      <c r="I114" s="671" t="n"/>
      <c r="J114" s="671" t="n"/>
      <c r="K114" s="671" t="n"/>
      <c r="L114" s="671" t="n"/>
      <c r="M114" s="671" t="n"/>
      <c r="N114" s="671" t="n"/>
      <c r="O114" s="671" t="n"/>
      <c r="P114" s="671" t="n"/>
      <c r="Q114" s="671" t="n"/>
      <c r="R114" s="671" t="n"/>
      <c r="S114" s="671" t="n"/>
      <c r="T114" s="671" t="n"/>
      <c r="U114" s="671" t="n"/>
      <c r="V114" s="671" t="n"/>
      <c r="W114" s="671" t="n"/>
      <c r="X114" s="671" t="n"/>
      <c r="Y114" s="671" t="n"/>
      <c r="Z114" s="671" t="n"/>
      <c r="AA114" s="672" t="n"/>
      <c r="AB114" s="135" t="n"/>
      <c r="AC114" s="9" t="n"/>
    </row>
    <row r="115">
      <c r="B115" s="187">
        <f>IF(OR($E$48="Persona Física",LEN($E$48)&lt;1),1,IF(LEN(E115)&gt;0,1,0))</f>
        <v/>
      </c>
      <c r="C115" s="190">
        <f>IF(B115=0,"*","")</f>
        <v/>
      </c>
      <c r="D115" s="241">
        <f>IF(OR(E48="Persona Física",LEN(E48)&lt;1),"","No:")</f>
        <v/>
      </c>
      <c r="E115" s="685" t="inlineStr">
        <is>
          <t>NA</t>
        </is>
      </c>
      <c r="F115" s="671" t="n"/>
      <c r="G115" s="671" t="n"/>
      <c r="H115" s="671" t="n"/>
      <c r="I115" s="671" t="n"/>
      <c r="J115" s="671" t="n"/>
      <c r="K115" s="671" t="n"/>
      <c r="L115" s="671" t="n"/>
      <c r="M115" s="671" t="n"/>
      <c r="N115" s="671" t="n"/>
      <c r="O115" s="671" t="n"/>
      <c r="P115" s="671" t="n"/>
      <c r="Q115" s="671" t="n"/>
      <c r="R115" s="671" t="n"/>
      <c r="S115" s="671" t="n"/>
      <c r="T115" s="671" t="n"/>
      <c r="U115" s="671" t="n"/>
      <c r="V115" s="671" t="n"/>
      <c r="W115" s="671" t="n"/>
      <c r="X115" s="671" t="n"/>
      <c r="Y115" s="671" t="n"/>
      <c r="Z115" s="671" t="n"/>
      <c r="AA115" s="672" t="n"/>
      <c r="AB115" s="135" t="n"/>
      <c r="AC115" s="9" t="n"/>
    </row>
    <row r="116" ht="19.5" customHeight="1">
      <c r="B116" s="187">
        <f>IF(OR($E$48="Persona Física",LEN($E$48)&lt;1),1,IF(LEN(E116)&gt;0,1,0))</f>
        <v/>
      </c>
      <c r="C116" s="190">
        <f>IF(B116=0,"*","")</f>
        <v/>
      </c>
      <c r="D116" s="241">
        <f>IF(OR(E48="Persona Física",LEN(E48)&lt;1),"","Partida:")</f>
        <v/>
      </c>
      <c r="E116" s="685" t="inlineStr">
        <is>
          <t>NA</t>
        </is>
      </c>
      <c r="F116" s="671" t="n"/>
      <c r="G116" s="671" t="n"/>
      <c r="H116" s="671" t="n"/>
      <c r="I116" s="671" t="n"/>
      <c r="J116" s="671" t="n"/>
      <c r="K116" s="671" t="n"/>
      <c r="L116" s="671" t="n"/>
      <c r="M116" s="671" t="n"/>
      <c r="N116" s="671" t="n"/>
      <c r="O116" s="671" t="n"/>
      <c r="P116" s="671" t="n"/>
      <c r="Q116" s="671" t="n"/>
      <c r="R116" s="671" t="n"/>
      <c r="S116" s="671" t="n"/>
      <c r="T116" s="671" t="n"/>
      <c r="U116" s="671" t="n"/>
      <c r="V116" s="671" t="n"/>
      <c r="W116" s="671" t="n"/>
      <c r="X116" s="671" t="n"/>
      <c r="Y116" s="671" t="n"/>
      <c r="Z116" s="671" t="n"/>
      <c r="AA116" s="672" t="n"/>
      <c r="AB116" s="135" t="n"/>
      <c r="AC116" s="9" t="n"/>
    </row>
    <row r="117" ht="35.1" customHeight="1">
      <c r="B117" s="187">
        <f>IF(OR($E$48="Persona Física",LEN($E$48)&lt;1),1,IF(LEN(E117)&gt;1,1,0))</f>
        <v/>
      </c>
      <c r="C117" s="190">
        <f>IF(B117=0,"*","")</f>
        <v/>
      </c>
      <c r="D117" s="241">
        <f>IF(OR(E48="Persona Física",LEN(E48)&lt;1),"","Duración de la sociedad (años):")</f>
        <v/>
      </c>
      <c r="E117" s="685" t="inlineStr">
        <is>
          <t>NA</t>
        </is>
      </c>
      <c r="F117" s="671" t="n"/>
      <c r="G117" s="671" t="n"/>
      <c r="H117" s="672" t="n"/>
      <c r="I117" s="572" t="n"/>
      <c r="J117" s="689" t="n"/>
      <c r="K117" s="689" t="n"/>
      <c r="L117" s="689" t="n"/>
      <c r="M117" s="689" t="n"/>
      <c r="N117" s="689" t="n"/>
      <c r="O117" s="689" t="n"/>
      <c r="P117" s="689" t="n"/>
      <c r="Q117" s="689" t="n"/>
      <c r="R117" s="689" t="n"/>
      <c r="S117" s="689" t="n"/>
      <c r="T117" s="689" t="n"/>
      <c r="U117" s="689" t="n"/>
      <c r="V117" s="689" t="n"/>
      <c r="W117" s="689" t="n"/>
      <c r="X117" s="689" t="n"/>
      <c r="Y117" s="689" t="n"/>
      <c r="Z117" s="689" t="n"/>
      <c r="AA117" s="690" t="n"/>
      <c r="AB117" s="624" t="n"/>
      <c r="AC117" s="9" t="n"/>
    </row>
    <row r="118" ht="35.1" customHeight="1">
      <c r="B118" s="187">
        <f>IF(OR($E$48="Persona Física",LEN($E$48)&lt;1),1,IF(LEN(E118)&gt;1,1,0))</f>
        <v/>
      </c>
      <c r="C118" s="190">
        <f>IF(B118=0,"*","")</f>
        <v/>
      </c>
      <c r="D118" s="41">
        <f>IF(OR(E48="Persona Física",LEN(E48)&lt;1),"","¿Ha cambiado de razón social y/o estructura legal?")</f>
        <v/>
      </c>
      <c r="E118" s="685" t="inlineStr">
        <is>
          <t>NA</t>
        </is>
      </c>
      <c r="F118" s="671" t="n"/>
      <c r="G118" s="671" t="n"/>
      <c r="H118" s="672" t="n"/>
      <c r="I118" s="707" t="n"/>
      <c r="J118" s="29" t="n"/>
      <c r="K118" s="29" t="n"/>
      <c r="L118" s="29" t="n"/>
      <c r="M118" s="29" t="n"/>
      <c r="N118" s="29" t="n"/>
      <c r="O118" s="29" t="n"/>
      <c r="P118" s="29" t="n"/>
      <c r="Q118" s="29" t="n"/>
      <c r="R118" s="29" t="n"/>
      <c r="S118" s="29" t="n"/>
      <c r="T118" s="29" t="n"/>
      <c r="U118" s="29" t="n"/>
      <c r="V118" s="29" t="n"/>
      <c r="W118" s="29" t="n"/>
      <c r="X118" s="29" t="n"/>
      <c r="Y118" s="29" t="n"/>
      <c r="Z118" s="29" t="n"/>
      <c r="AA118" s="708" t="n"/>
      <c r="AB118" s="624" t="n"/>
      <c r="AC118" s="9" t="n"/>
    </row>
    <row r="119" ht="29.1" customHeight="1" thickBot="1">
      <c r="B119" s="187">
        <f>IF(OR($E$48="Persona Física",LEN($E$48)&lt;1),1,IF(LEN(E119)&gt;1,1,0))</f>
        <v/>
      </c>
      <c r="C119" s="190">
        <f>IF(B119=0,"*","")</f>
        <v/>
      </c>
      <c r="D119" s="242">
        <f>IF(OR(E48="Persona Física",LEN(E48)&lt;1),"","¿Se ha fusionado o escindido?")</f>
        <v/>
      </c>
      <c r="E119" s="718" t="inlineStr">
        <is>
          <t>NA</t>
        </is>
      </c>
      <c r="F119" s="719" t="n"/>
      <c r="G119" s="719" t="n"/>
      <c r="H119" s="720" t="n"/>
      <c r="I119" s="692" t="n"/>
      <c r="J119" s="693" t="n"/>
      <c r="K119" s="693" t="n"/>
      <c r="L119" s="693" t="n"/>
      <c r="M119" s="693" t="n"/>
      <c r="N119" s="693" t="n"/>
      <c r="O119" s="693" t="n"/>
      <c r="P119" s="693" t="n"/>
      <c r="Q119" s="693" t="n"/>
      <c r="R119" s="693" t="n"/>
      <c r="S119" s="693" t="n"/>
      <c r="T119" s="693" t="n"/>
      <c r="U119" s="693" t="n"/>
      <c r="V119" s="693" t="n"/>
      <c r="W119" s="693" t="n"/>
      <c r="X119" s="693" t="n"/>
      <c r="Y119" s="693" t="n"/>
      <c r="Z119" s="693" t="n"/>
      <c r="AA119" s="694" t="n"/>
      <c r="AB119" s="624" t="n"/>
      <c r="AC119" s="9" t="n"/>
    </row>
    <row r="120" ht="36" customHeight="1" thickBot="1">
      <c r="B120" s="187" t="n"/>
      <c r="E120" s="326" t="n"/>
      <c r="F120" s="326" t="n"/>
      <c r="G120" s="326" t="n"/>
      <c r="H120" s="326" t="n"/>
      <c r="I120" s="84" t="n"/>
      <c r="J120" s="84" t="n"/>
      <c r="K120" s="84" t="n"/>
      <c r="L120" s="84" t="n"/>
      <c r="M120" s="84" t="n"/>
      <c r="N120" s="84" t="n"/>
      <c r="O120" s="84" t="n"/>
      <c r="P120" s="84" t="n"/>
      <c r="Q120" s="84" t="n"/>
      <c r="R120" s="84" t="n"/>
      <c r="S120" s="84" t="n"/>
      <c r="T120" s="84" t="n"/>
      <c r="U120" s="84" t="n"/>
      <c r="V120" s="84" t="n"/>
      <c r="W120" s="84" t="n"/>
      <c r="X120" s="84" t="n"/>
      <c r="Y120" s="84" t="n"/>
      <c r="Z120" s="84" t="n"/>
      <c r="AA120" s="42" t="n"/>
      <c r="AB120" s="624" t="n"/>
      <c r="AC120" s="9" t="n"/>
    </row>
    <row r="121" ht="36" customHeight="1" thickBot="1">
      <c r="B121" s="187" t="n"/>
      <c r="D121" s="654">
        <f>IF(OR(E119="No",LEN(E119)&lt;1,$E$48="Persona Física"),"NA","FUSIONES O ESCISIONES")</f>
        <v/>
      </c>
      <c r="E121" s="655" t="n"/>
      <c r="F121" s="655" t="n"/>
      <c r="G121" s="655" t="n"/>
      <c r="H121" s="655" t="n"/>
      <c r="I121" s="655" t="n"/>
      <c r="J121" s="655" t="n"/>
      <c r="K121" s="655" t="n"/>
      <c r="L121" s="655" t="n"/>
      <c r="M121" s="655" t="n"/>
      <c r="N121" s="655" t="n"/>
      <c r="O121" s="655" t="n"/>
      <c r="P121" s="655" t="n"/>
      <c r="Q121" s="655" t="n"/>
      <c r="R121" s="655" t="n"/>
      <c r="S121" s="655" t="n"/>
      <c r="T121" s="655" t="n"/>
      <c r="U121" s="655" t="n"/>
      <c r="V121" s="655" t="n"/>
      <c r="W121" s="655" t="n"/>
      <c r="X121" s="655" t="n"/>
      <c r="Y121" s="655" t="n"/>
      <c r="Z121" s="655" t="n"/>
      <c r="AA121" s="656" t="n"/>
      <c r="AB121" s="401" t="n"/>
      <c r="AC121" s="9" t="n"/>
    </row>
    <row r="122" ht="36" customHeight="1" thickBot="1">
      <c r="B122" s="187" t="n"/>
      <c r="D122" s="96" t="inlineStr">
        <is>
          <t xml:space="preserve">Tipo </t>
        </is>
      </c>
      <c r="E122" s="340" t="inlineStr">
        <is>
          <t>Nombre de la empresa</t>
        </is>
      </c>
      <c r="F122" s="663" t="n"/>
      <c r="G122" s="721" t="n"/>
      <c r="H122" s="340" t="inlineStr">
        <is>
          <t xml:space="preserve">No. escritura </t>
        </is>
      </c>
      <c r="I122" s="721" t="n"/>
      <c r="J122" s="340" t="inlineStr">
        <is>
          <t xml:space="preserve">No. NotarÍa </t>
        </is>
      </c>
      <c r="K122" s="663" t="n"/>
      <c r="L122" s="663" t="n"/>
      <c r="M122" s="721" t="n"/>
      <c r="N122" s="340" t="inlineStr">
        <is>
          <t xml:space="preserve">Nombre notario </t>
        </is>
      </c>
      <c r="O122" s="721" t="n"/>
      <c r="P122" s="340" t="inlineStr">
        <is>
          <t xml:space="preserve">PaÍs </t>
        </is>
      </c>
      <c r="Q122" s="340" t="inlineStr">
        <is>
          <t xml:space="preserve">Estado </t>
        </is>
      </c>
      <c r="R122" s="721" t="n"/>
      <c r="S122" s="340" t="inlineStr">
        <is>
          <t xml:space="preserve">Ciudad </t>
        </is>
      </c>
      <c r="T122" s="663" t="n"/>
      <c r="U122" s="663" t="n"/>
      <c r="V122" s="663" t="n"/>
      <c r="W122" s="663" t="n"/>
      <c r="X122" s="721" t="n"/>
      <c r="Y122" s="722" t="inlineStr">
        <is>
          <t>Fecha
(DD/MM/AAAA)</t>
        </is>
      </c>
      <c r="Z122" s="655" t="n"/>
      <c r="AA122" s="656" t="n"/>
      <c r="AB122" s="141" t="n"/>
      <c r="AC122" s="9" t="n"/>
    </row>
    <row r="123" ht="36" customHeight="1">
      <c r="B123" s="187">
        <f>IF(OR(E119="No",LEN(E119)&lt;1,$E$48="Persona Física"),1,IF(LEN(E123)&gt;1,1,0))</f>
        <v/>
      </c>
      <c r="C123" s="190">
        <f>IF(B123=0,"*","")</f>
        <v/>
      </c>
      <c r="D123" s="159" t="n"/>
      <c r="E123" s="357" t="n"/>
      <c r="F123" s="668" t="n"/>
      <c r="G123" s="669" t="n"/>
      <c r="H123" s="357" t="n"/>
      <c r="I123" s="669" t="n"/>
      <c r="J123" s="357" t="n"/>
      <c r="K123" s="668" t="n"/>
      <c r="L123" s="668" t="n"/>
      <c r="M123" s="669" t="n"/>
      <c r="N123" s="357" t="n"/>
      <c r="O123" s="669" t="n"/>
      <c r="P123" s="357" t="n"/>
      <c r="Q123" s="357" t="n"/>
      <c r="R123" s="669" t="n"/>
      <c r="S123" s="357" t="n"/>
      <c r="T123" s="668" t="n"/>
      <c r="U123" s="668" t="n"/>
      <c r="V123" s="668" t="n"/>
      <c r="W123" s="668" t="n"/>
      <c r="X123" s="669" t="n"/>
      <c r="Y123" s="723" t="n"/>
      <c r="Z123" s="668" t="n"/>
      <c r="AA123" s="724" t="n"/>
      <c r="AB123" s="141" t="n"/>
      <c r="AC123" s="9" t="n"/>
    </row>
    <row r="124" ht="36" customHeight="1">
      <c r="B124" s="187" t="n"/>
      <c r="D124" s="161" t="n"/>
      <c r="E124" s="278" t="n"/>
      <c r="F124" s="671" t="n"/>
      <c r="G124" s="672" t="n"/>
      <c r="H124" s="278" t="n"/>
      <c r="I124" s="672" t="n"/>
      <c r="J124" s="278" t="n"/>
      <c r="K124" s="671" t="n"/>
      <c r="L124" s="671" t="n"/>
      <c r="M124" s="672" t="n"/>
      <c r="N124" s="278" t="n"/>
      <c r="O124" s="672" t="n"/>
      <c r="P124" s="278" t="n"/>
      <c r="Q124" s="278" t="n"/>
      <c r="R124" s="672" t="n"/>
      <c r="S124" s="278" t="n"/>
      <c r="T124" s="671" t="n"/>
      <c r="U124" s="671" t="n"/>
      <c r="V124" s="671" t="n"/>
      <c r="W124" s="671" t="n"/>
      <c r="X124" s="672" t="n"/>
      <c r="Y124" s="725" t="n"/>
      <c r="Z124" s="668" t="n"/>
      <c r="AA124" s="724" t="n"/>
      <c r="AB124" s="141" t="n"/>
      <c r="AC124" s="9" t="n"/>
    </row>
    <row r="125" ht="36" customHeight="1" thickBot="1">
      <c r="B125" s="187" t="n"/>
      <c r="D125" s="163" t="n"/>
      <c r="E125" s="279" t="n"/>
      <c r="F125" s="679" t="n"/>
      <c r="G125" s="680" t="n"/>
      <c r="H125" s="279" t="n"/>
      <c r="I125" s="680" t="n"/>
      <c r="J125" s="279" t="n"/>
      <c r="K125" s="679" t="n"/>
      <c r="L125" s="679" t="n"/>
      <c r="M125" s="680" t="n"/>
      <c r="N125" s="279" t="n"/>
      <c r="O125" s="680" t="n"/>
      <c r="P125" s="279" t="n"/>
      <c r="Q125" s="279" t="n"/>
      <c r="R125" s="680" t="n"/>
      <c r="S125" s="279" t="n"/>
      <c r="T125" s="679" t="n"/>
      <c r="U125" s="679" t="n"/>
      <c r="V125" s="679" t="n"/>
      <c r="W125" s="679" t="n"/>
      <c r="X125" s="680" t="n"/>
      <c r="Y125" s="725" t="n"/>
      <c r="Z125" s="668" t="n"/>
      <c r="AA125" s="724" t="n"/>
      <c r="AB125" s="141" t="n"/>
      <c r="AC125" s="9" t="n"/>
    </row>
    <row r="126" ht="36" customHeight="1">
      <c r="B126" s="187" t="n"/>
      <c r="E126" s="326" t="n"/>
      <c r="F126" s="326" t="n"/>
      <c r="G126" s="326" t="n"/>
      <c r="H126" s="326" t="n"/>
      <c r="I126" s="84" t="n"/>
      <c r="J126" s="84" t="n"/>
      <c r="K126" s="84" t="n"/>
      <c r="L126" s="84" t="n"/>
      <c r="M126" s="84" t="n"/>
      <c r="N126" s="84" t="n"/>
      <c r="O126" s="84" t="n"/>
      <c r="P126" s="84" t="n"/>
      <c r="Q126" s="84" t="n"/>
      <c r="R126" s="84" t="n"/>
      <c r="S126" s="84" t="n"/>
      <c r="T126" s="84" t="n"/>
      <c r="U126" s="84" t="n"/>
      <c r="V126" s="84" t="n"/>
      <c r="W126" s="84" t="n"/>
      <c r="X126" s="84" t="n"/>
      <c r="Y126" s="84" t="n"/>
      <c r="Z126" s="84" t="n"/>
      <c r="AA126" s="84" t="n"/>
      <c r="AB126" s="624" t="n"/>
      <c r="AC126" s="9" t="n"/>
    </row>
    <row r="127" ht="36" customHeight="1" thickBot="1">
      <c r="B127" s="187" t="n"/>
      <c r="E127" s="326" t="n"/>
      <c r="F127" s="326" t="n"/>
      <c r="G127" s="326" t="n"/>
      <c r="H127" s="326" t="n"/>
      <c r="I127" s="84" t="n"/>
      <c r="J127" s="84" t="n"/>
      <c r="K127" s="84" t="n"/>
      <c r="L127" s="84" t="n"/>
      <c r="M127" s="84" t="n"/>
      <c r="N127" s="84" t="n"/>
      <c r="O127" s="84" t="n"/>
      <c r="P127" s="84" t="n"/>
      <c r="Q127" s="84" t="n"/>
      <c r="R127" s="84" t="n"/>
      <c r="S127" s="84" t="n"/>
      <c r="T127" s="84" t="n"/>
      <c r="U127" s="84" t="n"/>
      <c r="V127" s="84" t="n"/>
      <c r="W127" s="84" t="n"/>
      <c r="X127" s="84" t="n"/>
      <c r="Y127" s="84" t="n"/>
      <c r="Z127" s="84" t="n"/>
      <c r="AA127" s="84" t="n"/>
      <c r="AB127" s="624" t="n"/>
      <c r="AC127" s="9" t="n"/>
    </row>
    <row r="128" ht="32.4" customHeight="1" thickBot="1">
      <c r="B128" s="187" t="n"/>
      <c r="D128" s="654">
        <f>IF(OR($E$118="No",LEN($E$118)&lt;1,$E$48="Persona Física"),"NA","CAMBIOS DE RAZÓN SOCIAL Y/O ESTRUCTURA LEGAL (HISTÓRICO)")</f>
        <v/>
      </c>
      <c r="E128" s="655" t="n"/>
      <c r="F128" s="655" t="n"/>
      <c r="G128" s="655" t="n"/>
      <c r="H128" s="655" t="n"/>
      <c r="I128" s="655" t="n"/>
      <c r="J128" s="655" t="n"/>
      <c r="K128" s="655" t="n"/>
      <c r="L128" s="655" t="n"/>
      <c r="M128" s="655" t="n"/>
      <c r="N128" s="655" t="n"/>
      <c r="O128" s="655" t="n"/>
      <c r="P128" s="655" t="n"/>
      <c r="Q128" s="655" t="n"/>
      <c r="R128" s="655" t="n"/>
      <c r="S128" s="655" t="n"/>
      <c r="T128" s="655" t="n"/>
      <c r="U128" s="655" t="n"/>
      <c r="V128" s="655" t="n"/>
      <c r="W128" s="655" t="n"/>
      <c r="X128" s="655" t="n"/>
      <c r="Y128" s="655" t="n"/>
      <c r="Z128" s="655" t="n"/>
      <c r="AA128" s="656" t="n"/>
      <c r="AB128" s="401" t="n"/>
      <c r="AC128" s="9" t="n"/>
    </row>
    <row r="129" ht="30.6" customHeight="1">
      <c r="B129" s="187" t="n"/>
      <c r="D129" s="43" t="n"/>
      <c r="E129" s="366" t="inlineStr">
        <is>
          <t>Cambio 1</t>
        </is>
      </c>
      <c r="F129" s="668" t="n"/>
      <c r="G129" s="668" t="n"/>
      <c r="H129" s="669" t="n"/>
      <c r="I129" s="366" t="inlineStr">
        <is>
          <t>Cambio 2</t>
        </is>
      </c>
      <c r="J129" s="668" t="n"/>
      <c r="K129" s="668" t="n"/>
      <c r="L129" s="669" t="n"/>
      <c r="M129" s="366" t="inlineStr">
        <is>
          <t>Cambio 3</t>
        </is>
      </c>
      <c r="N129" s="668" t="n"/>
      <c r="O129" s="668" t="n"/>
      <c r="P129" s="669" t="n"/>
      <c r="Q129" s="366" t="inlineStr">
        <is>
          <t>Cambio 4</t>
        </is>
      </c>
      <c r="R129" s="668" t="n"/>
      <c r="S129" s="668" t="n"/>
      <c r="T129" s="669" t="n"/>
      <c r="U129" s="366" t="inlineStr">
        <is>
          <t>Cambio 5</t>
        </is>
      </c>
      <c r="V129" s="668" t="n"/>
      <c r="W129" s="668" t="n"/>
      <c r="X129" s="669" t="n"/>
      <c r="Y129" s="514" t="n"/>
      <c r="Z129" s="668" t="n"/>
      <c r="AA129" s="669" t="n"/>
      <c r="AB129" s="142" t="n"/>
      <c r="AC129" s="9" t="n"/>
    </row>
    <row r="130">
      <c r="B130" s="187">
        <f>IF(OR($E$118="No",LEN($E$118)&lt;1,$E$48="Persona Física"),1,IF(LEN(E130)&gt;1,1,0))</f>
        <v/>
      </c>
      <c r="C130" s="190">
        <f>IF(B130=0,"*","")</f>
        <v/>
      </c>
      <c r="D130" s="241" t="inlineStr">
        <is>
          <t>Razón Social:</t>
        </is>
      </c>
      <c r="E130" s="278" t="n"/>
      <c r="F130" s="671" t="n"/>
      <c r="G130" s="671" t="n"/>
      <c r="H130" s="672" t="n"/>
      <c r="I130" s="278" t="n"/>
      <c r="J130" s="671" t="n"/>
      <c r="K130" s="671" t="n"/>
      <c r="L130" s="672" t="n"/>
      <c r="M130" s="278" t="n"/>
      <c r="N130" s="671" t="n"/>
      <c r="O130" s="671" t="n"/>
      <c r="P130" s="672" t="n"/>
      <c r="Q130" s="278" t="n"/>
      <c r="R130" s="671" t="n"/>
      <c r="S130" s="671" t="n"/>
      <c r="T130" s="672" t="n"/>
      <c r="U130" s="278" t="n"/>
      <c r="V130" s="671" t="n"/>
      <c r="W130" s="671" t="n"/>
      <c r="X130" s="672" t="n"/>
      <c r="Y130" s="237" t="n"/>
      <c r="Z130" s="674" t="n"/>
      <c r="AA130" s="726" t="n"/>
      <c r="AB130" s="143" t="n"/>
      <c r="AC130" s="9" t="n"/>
    </row>
    <row r="131">
      <c r="B131" s="187">
        <f>IF(OR($E$118="No",LEN($E$118)&lt;1,$E$48="Persona Física"),1,IF(LEN(E131)&gt;1,1,0))</f>
        <v/>
      </c>
      <c r="C131" s="190">
        <f>IF(B131=0,"*","")</f>
        <v/>
      </c>
      <c r="D131" s="241" t="inlineStr">
        <is>
          <t>Escritura No:</t>
        </is>
      </c>
      <c r="E131" s="278" t="n"/>
      <c r="F131" s="671" t="n"/>
      <c r="G131" s="671" t="n"/>
      <c r="H131" s="672" t="n"/>
      <c r="I131" s="278" t="n"/>
      <c r="J131" s="671" t="n"/>
      <c r="K131" s="671" t="n"/>
      <c r="L131" s="672" t="n"/>
      <c r="M131" s="278" t="n"/>
      <c r="N131" s="671" t="n"/>
      <c r="O131" s="671" t="n"/>
      <c r="P131" s="672" t="n"/>
      <c r="Q131" s="278" t="n"/>
      <c r="R131" s="671" t="n"/>
      <c r="S131" s="671" t="n"/>
      <c r="T131" s="672" t="n"/>
      <c r="U131" s="278" t="n"/>
      <c r="V131" s="671" t="n"/>
      <c r="W131" s="671" t="n"/>
      <c r="X131" s="672" t="n"/>
      <c r="Y131" s="727" t="n"/>
      <c r="Z131" s="728" t="n"/>
      <c r="AA131" s="729" t="n"/>
      <c r="AB131" s="143" t="n"/>
      <c r="AC131" s="9" t="n"/>
    </row>
    <row r="132">
      <c r="B132" s="187">
        <f>IF(OR($E$118="No",LEN($E$118)&lt;1,$E$48="Persona Física"),1,IF(LEN(E132)&gt;1,1,0))</f>
        <v/>
      </c>
      <c r="C132" s="190">
        <f>IF(B132=0,"*","")</f>
        <v/>
      </c>
      <c r="D132" s="41" t="inlineStr">
        <is>
          <t>Notario:</t>
        </is>
      </c>
      <c r="E132" s="278" t="n"/>
      <c r="F132" s="671" t="n"/>
      <c r="G132" s="671" t="n"/>
      <c r="H132" s="672" t="n"/>
      <c r="I132" s="278" t="n"/>
      <c r="J132" s="671" t="n"/>
      <c r="K132" s="671" t="n"/>
      <c r="L132" s="672" t="n"/>
      <c r="M132" s="278" t="n"/>
      <c r="N132" s="671" t="n"/>
      <c r="O132" s="671" t="n"/>
      <c r="P132" s="672" t="n"/>
      <c r="Q132" s="278" t="n"/>
      <c r="R132" s="671" t="n"/>
      <c r="S132" s="671" t="n"/>
      <c r="T132" s="672" t="n"/>
      <c r="U132" s="278" t="n"/>
      <c r="V132" s="671" t="n"/>
      <c r="W132" s="671" t="n"/>
      <c r="X132" s="672" t="n"/>
      <c r="Y132" s="727" t="n"/>
      <c r="Z132" s="728" t="n"/>
      <c r="AA132" s="729" t="n"/>
      <c r="AB132" s="143" t="n"/>
      <c r="AC132" s="9" t="n"/>
    </row>
    <row r="133">
      <c r="B133" s="187">
        <f>IF(OR($E$118="No",LEN($E$118)&lt;1,$E$48="Persona Física"),1,IF(LEN(E133)&gt;1,1,0))</f>
        <v/>
      </c>
      <c r="C133" s="190">
        <f>IF(B133=0,"*","")</f>
        <v/>
      </c>
      <c r="D133" s="41" t="inlineStr">
        <is>
          <t>No. de notaría:</t>
        </is>
      </c>
      <c r="E133" s="278" t="n"/>
      <c r="F133" s="671" t="n"/>
      <c r="G133" s="671" t="n"/>
      <c r="H133" s="672" t="n"/>
      <c r="I133" s="278" t="n"/>
      <c r="J133" s="671" t="n"/>
      <c r="K133" s="671" t="n"/>
      <c r="L133" s="672" t="n"/>
      <c r="M133" s="278" t="n"/>
      <c r="N133" s="671" t="n"/>
      <c r="O133" s="671" t="n"/>
      <c r="P133" s="672" t="n"/>
      <c r="Q133" s="278" t="n"/>
      <c r="R133" s="671" t="n"/>
      <c r="S133" s="671" t="n"/>
      <c r="T133" s="672" t="n"/>
      <c r="U133" s="278" t="n"/>
      <c r="V133" s="671" t="n"/>
      <c r="W133" s="671" t="n"/>
      <c r="X133" s="672" t="n"/>
      <c r="Y133" s="727" t="n"/>
      <c r="Z133" s="728" t="n"/>
      <c r="AA133" s="729" t="n"/>
      <c r="AB133" s="143" t="n"/>
      <c r="AC133" s="9" t="n"/>
    </row>
    <row r="134" ht="27" customHeight="1" thickBot="1">
      <c r="B134" s="187">
        <f>IF(OR($E$118="No",LEN($E$118)&lt;1,$E$48="Persona Física"),1,IF(LEN(E134)&gt;1,1,0))</f>
        <v/>
      </c>
      <c r="C134" s="190">
        <f>IF(B134=0,"*","")</f>
        <v/>
      </c>
      <c r="D134" s="242" t="inlineStr">
        <is>
          <t xml:space="preserve">Fecha (DD/MM/AAAA): </t>
        </is>
      </c>
      <c r="E134" s="485" t="n"/>
      <c r="F134" s="679" t="n"/>
      <c r="G134" s="679" t="n"/>
      <c r="H134" s="680" t="n"/>
      <c r="I134" s="279" t="n"/>
      <c r="J134" s="679" t="n"/>
      <c r="K134" s="679" t="n"/>
      <c r="L134" s="680" t="n"/>
      <c r="M134" s="279" t="n"/>
      <c r="N134" s="679" t="n"/>
      <c r="O134" s="679" t="n"/>
      <c r="P134" s="680" t="n"/>
      <c r="Q134" s="279" t="n"/>
      <c r="R134" s="679" t="n"/>
      <c r="S134" s="679" t="n"/>
      <c r="T134" s="680" t="n"/>
      <c r="U134" s="279" t="n"/>
      <c r="V134" s="679" t="n"/>
      <c r="W134" s="679" t="n"/>
      <c r="X134" s="680" t="n"/>
      <c r="Y134" s="730" t="n"/>
      <c r="Z134" s="668" t="n"/>
      <c r="AA134" s="669" t="n"/>
      <c r="AB134" s="143" t="n"/>
      <c r="AC134" s="9" t="n"/>
    </row>
    <row r="135" ht="25.5" customHeight="1" thickBot="1">
      <c r="B135" s="187" t="n"/>
      <c r="E135" s="326" t="n"/>
      <c r="F135" s="326" t="n"/>
      <c r="G135" s="326" t="n"/>
      <c r="H135" s="326" t="n"/>
      <c r="I135" s="326" t="n"/>
      <c r="J135" s="326" t="n"/>
      <c r="K135" s="326" t="n"/>
      <c r="L135" s="326" t="n"/>
      <c r="M135" s="326" t="n"/>
      <c r="N135" s="326" t="n"/>
      <c r="O135" s="326" t="n"/>
      <c r="P135" s="326" t="n"/>
      <c r="Q135" s="326" t="n"/>
      <c r="R135" s="326" t="n"/>
      <c r="S135" s="326" t="n"/>
      <c r="T135" s="326" t="n"/>
      <c r="U135" s="326" t="n"/>
      <c r="V135" s="326" t="n"/>
      <c r="W135" s="326" t="n"/>
      <c r="X135" s="326" t="n"/>
      <c r="Y135" s="326" t="n"/>
      <c r="Z135" s="326" t="n"/>
      <c r="AA135" s="326" t="n"/>
      <c r="AB135" s="326" t="n"/>
      <c r="AC135" s="9" t="n"/>
    </row>
    <row r="136" ht="32.1" customHeight="1" thickBot="1">
      <c r="B136" s="187" t="n"/>
      <c r="D136" s="654">
        <f>IF(OR(E48="Persona Física",LEN(E48)&lt;1),"NA","CAPITAL SOCIAL")</f>
        <v/>
      </c>
      <c r="E136" s="655" t="n"/>
      <c r="F136" s="655" t="n"/>
      <c r="G136" s="655" t="n"/>
      <c r="H136" s="655" t="n"/>
      <c r="I136" s="655" t="n"/>
      <c r="J136" s="655" t="n"/>
      <c r="K136" s="655" t="n"/>
      <c r="L136" s="655" t="n"/>
      <c r="M136" s="655" t="n"/>
      <c r="N136" s="655" t="n"/>
      <c r="O136" s="655" t="n"/>
      <c r="P136" s="655" t="n"/>
      <c r="Q136" s="655" t="n"/>
      <c r="R136" s="655" t="n"/>
      <c r="S136" s="655" t="n"/>
      <c r="T136" s="655" t="n"/>
      <c r="U136" s="655" t="n"/>
      <c r="V136" s="655" t="n"/>
      <c r="W136" s="655" t="n"/>
      <c r="X136" s="655" t="n"/>
      <c r="Y136" s="655" t="n"/>
      <c r="Z136" s="655" t="n"/>
      <c r="AA136" s="656" t="n"/>
      <c r="AB136" s="401" t="n"/>
      <c r="AC136" s="9" t="n"/>
    </row>
    <row r="137">
      <c r="B137" s="187">
        <f>IF(OR($E$48="Persona Física",LEN($E$48)&lt;1),1,IF(LEN(E137)&gt;1,1,0))</f>
        <v/>
      </c>
      <c r="C137" s="190">
        <f>IF(B137=0,"*","")</f>
        <v/>
      </c>
      <c r="D137" s="33" t="inlineStr">
        <is>
          <t>Inicial:</t>
        </is>
      </c>
      <c r="E137" s="561" t="n"/>
      <c r="F137" s="668" t="n"/>
      <c r="G137" s="668" t="n"/>
      <c r="H137" s="668" t="n"/>
      <c r="I137" s="668" t="n"/>
      <c r="J137" s="668" t="n"/>
      <c r="K137" s="668" t="n"/>
      <c r="L137" s="668" t="n"/>
      <c r="M137" s="668" t="n"/>
      <c r="N137" s="668" t="n"/>
      <c r="O137" s="668" t="n"/>
      <c r="P137" s="668" t="n"/>
      <c r="Q137" s="668" t="n"/>
      <c r="R137" s="668" t="n"/>
      <c r="S137" s="668" t="n"/>
      <c r="T137" s="668" t="n"/>
      <c r="U137" s="668" t="n"/>
      <c r="V137" s="668" t="n"/>
      <c r="W137" s="668" t="n"/>
      <c r="X137" s="668" t="n"/>
      <c r="Y137" s="668" t="n"/>
      <c r="Z137" s="668" t="n"/>
      <c r="AA137" s="669" t="n"/>
      <c r="AB137" s="135" t="n"/>
      <c r="AC137" s="9" t="n"/>
    </row>
    <row r="138">
      <c r="B138" s="187">
        <f>IF(OR($E$48="Persona Física",LEN($E$48)&lt;1),1,IF(LEN(E138)&gt;1,1,0))</f>
        <v/>
      </c>
      <c r="C138" s="190">
        <f>IF(B138=0,"*","")</f>
        <v/>
      </c>
      <c r="D138" s="241" t="inlineStr">
        <is>
          <t>Actual:</t>
        </is>
      </c>
      <c r="E138" s="563" t="n"/>
      <c r="F138" s="671" t="n"/>
      <c r="G138" s="671" t="n"/>
      <c r="H138" s="671" t="n"/>
      <c r="I138" s="671" t="n"/>
      <c r="J138" s="671" t="n"/>
      <c r="K138" s="671" t="n"/>
      <c r="L138" s="671" t="n"/>
      <c r="M138" s="671" t="n"/>
      <c r="N138" s="671" t="n"/>
      <c r="O138" s="671" t="n"/>
      <c r="P138" s="671" t="n"/>
      <c r="Q138" s="671" t="n"/>
      <c r="R138" s="671" t="n"/>
      <c r="S138" s="671" t="n"/>
      <c r="T138" s="671" t="n"/>
      <c r="U138" s="671" t="n"/>
      <c r="V138" s="671" t="n"/>
      <c r="W138" s="671" t="n"/>
      <c r="X138" s="671" t="n"/>
      <c r="Y138" s="671" t="n"/>
      <c r="Z138" s="671" t="n"/>
      <c r="AA138" s="672" t="n"/>
      <c r="AB138" s="135" t="n"/>
      <c r="AC138" s="9" t="n"/>
    </row>
    <row r="139">
      <c r="B139" s="187">
        <f>IF(OR($E$48="Persona Física",LEN($E$48)&lt;1),1,IF(LEN(E139)&gt;1,1,0))</f>
        <v/>
      </c>
      <c r="C139" s="190">
        <f>IF(B139=0,"*","")</f>
        <v/>
      </c>
      <c r="D139" s="241" t="inlineStr">
        <is>
          <t>No. de acciones:</t>
        </is>
      </c>
      <c r="E139" s="563" t="n"/>
      <c r="F139" s="671" t="n"/>
      <c r="G139" s="671" t="n"/>
      <c r="H139" s="671" t="n"/>
      <c r="I139" s="671" t="n"/>
      <c r="J139" s="671" t="n"/>
      <c r="K139" s="671" t="n"/>
      <c r="L139" s="671" t="n"/>
      <c r="M139" s="671" t="n"/>
      <c r="N139" s="671" t="n"/>
      <c r="O139" s="671" t="n"/>
      <c r="P139" s="671" t="n"/>
      <c r="Q139" s="671" t="n"/>
      <c r="R139" s="671" t="n"/>
      <c r="S139" s="671" t="n"/>
      <c r="T139" s="671" t="n"/>
      <c r="U139" s="671" t="n"/>
      <c r="V139" s="671" t="n"/>
      <c r="W139" s="671" t="n"/>
      <c r="X139" s="671" t="n"/>
      <c r="Y139" s="671" t="n"/>
      <c r="Z139" s="671" t="n"/>
      <c r="AA139" s="672" t="n"/>
      <c r="AB139" s="135" t="n"/>
      <c r="AC139" s="9" t="n"/>
    </row>
    <row r="140" ht="27" customHeight="1" thickBot="1">
      <c r="B140" s="187">
        <f>IF(OR($E$48="Persona Física",LEN($E$48)&lt;1),1,IF(LEN(E140)&gt;1,1,0))</f>
        <v/>
      </c>
      <c r="C140" s="190">
        <f>IF(B140=0,"*","")</f>
        <v/>
      </c>
      <c r="D140" s="242" t="inlineStr">
        <is>
          <t>Valor por acción:</t>
        </is>
      </c>
      <c r="E140" s="565" t="n"/>
      <c r="F140" s="679" t="n"/>
      <c r="G140" s="679" t="n"/>
      <c r="H140" s="679" t="n"/>
      <c r="I140" s="679" t="n"/>
      <c r="J140" s="679" t="n"/>
      <c r="K140" s="679" t="n"/>
      <c r="L140" s="679" t="n"/>
      <c r="M140" s="679" t="n"/>
      <c r="N140" s="679" t="n"/>
      <c r="O140" s="679" t="n"/>
      <c r="P140" s="679" t="n"/>
      <c r="Q140" s="679" t="n"/>
      <c r="R140" s="679" t="n"/>
      <c r="S140" s="679" t="n"/>
      <c r="T140" s="679" t="n"/>
      <c r="U140" s="679" t="n"/>
      <c r="V140" s="679" t="n"/>
      <c r="W140" s="679" t="n"/>
      <c r="X140" s="679" t="n"/>
      <c r="Y140" s="679" t="n"/>
      <c r="Z140" s="679" t="n"/>
      <c r="AA140" s="680" t="n"/>
      <c r="AB140" s="135" t="n"/>
      <c r="AC140" s="9" t="n"/>
    </row>
    <row r="141" ht="21.6" customHeight="1" thickBot="1">
      <c r="B141" s="187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9" t="n"/>
    </row>
    <row r="142" ht="30.6" customHeight="1" thickBot="1">
      <c r="B142" s="187" t="n"/>
      <c r="D142" s="480">
        <f>IF(OR($E$48="Persona Física",LEN($E$48)&lt;1),"NA","ACCIONISTAS ACTUALES")</f>
        <v/>
      </c>
      <c r="E142" s="655" t="n"/>
      <c r="F142" s="655" t="n"/>
      <c r="G142" s="655" t="n"/>
      <c r="H142" s="655" t="n"/>
      <c r="I142" s="655" t="n"/>
      <c r="J142" s="655" t="n"/>
      <c r="K142" s="655" t="n"/>
      <c r="L142" s="655" t="n"/>
      <c r="M142" s="655" t="n"/>
      <c r="N142" s="655" t="n"/>
      <c r="O142" s="655" t="n"/>
      <c r="P142" s="655" t="n"/>
      <c r="Q142" s="655" t="n"/>
      <c r="R142" s="655" t="n"/>
      <c r="S142" s="655" t="n"/>
      <c r="T142" s="655" t="n"/>
      <c r="U142" s="655" t="n"/>
      <c r="V142" s="655" t="n"/>
      <c r="W142" s="655" t="n"/>
      <c r="X142" s="655" t="n"/>
      <c r="Y142" s="655" t="n"/>
      <c r="Z142" s="655" t="n"/>
      <c r="AA142" s="666" t="n"/>
      <c r="AB142" s="401" t="n"/>
      <c r="AC142" s="9" t="n"/>
    </row>
    <row r="143" ht="39.6" customHeight="1">
      <c r="B143" s="187" t="n"/>
      <c r="D143" s="46" t="n"/>
      <c r="E143" s="240" t="inlineStr">
        <is>
          <t>Accionista  1</t>
        </is>
      </c>
      <c r="F143" s="693" t="n"/>
      <c r="G143" s="693" t="n"/>
      <c r="H143" s="694" t="n"/>
      <c r="I143" s="240" t="inlineStr">
        <is>
          <t>Accionista  2</t>
        </is>
      </c>
      <c r="J143" s="693" t="n"/>
      <c r="K143" s="693" t="n"/>
      <c r="L143" s="694" t="n"/>
      <c r="M143" s="240" t="inlineStr">
        <is>
          <t>Accionista  3</t>
        </is>
      </c>
      <c r="N143" s="693" t="n"/>
      <c r="O143" s="693" t="n"/>
      <c r="P143" s="694" t="n"/>
      <c r="Q143" s="240" t="inlineStr">
        <is>
          <t>Accionista  4</t>
        </is>
      </c>
      <c r="R143" s="693" t="n"/>
      <c r="S143" s="693" t="n"/>
      <c r="T143" s="694" t="n"/>
      <c r="U143" s="240" t="inlineStr">
        <is>
          <t>Accionista  5</t>
        </is>
      </c>
      <c r="V143" s="693" t="n"/>
      <c r="W143" s="693" t="n"/>
      <c r="X143" s="694" t="n"/>
      <c r="Y143" s="378" t="inlineStr">
        <is>
          <t>Agregue el resto de accionistas</t>
        </is>
      </c>
      <c r="Z143" s="693" t="n"/>
      <c r="AA143" s="694" t="n"/>
      <c r="AB143" s="144" t="n"/>
      <c r="AC143" s="9" t="n"/>
    </row>
    <row r="144">
      <c r="B144" s="187">
        <f>IF(OR($E$48="Persona Física",LEN($E$48)&lt;1),1,IF(LEN(E144)&gt;1,1,0))</f>
        <v/>
      </c>
      <c r="C144" s="190">
        <f>IF(B144=0,"*","")</f>
        <v/>
      </c>
      <c r="D144" s="241" t="inlineStr">
        <is>
          <t>Nombre:</t>
        </is>
      </c>
      <c r="E144" s="236" t="n"/>
      <c r="F144" s="671" t="n"/>
      <c r="G144" s="671" t="n"/>
      <c r="H144" s="672" t="n"/>
      <c r="I144" s="236" t="n"/>
      <c r="J144" s="671" t="n"/>
      <c r="K144" s="671" t="n"/>
      <c r="L144" s="672" t="n"/>
      <c r="M144" s="236" t="n"/>
      <c r="N144" s="671" t="n"/>
      <c r="O144" s="671" t="n"/>
      <c r="P144" s="672" t="n"/>
      <c r="Q144" s="236" t="n"/>
      <c r="R144" s="671" t="n"/>
      <c r="S144" s="671" t="n"/>
      <c r="T144" s="672" t="n"/>
      <c r="U144" s="236" t="n"/>
      <c r="V144" s="671" t="n"/>
      <c r="W144" s="671" t="n"/>
      <c r="X144" s="672" t="n"/>
      <c r="Y144" s="236" t="n"/>
      <c r="Z144" s="674" t="n"/>
      <c r="AA144" s="726" t="n"/>
      <c r="AB144" s="624" t="n"/>
      <c r="AC144" s="9" t="n"/>
    </row>
    <row r="145">
      <c r="B145" s="187">
        <f>IF(OR($E$48="Persona Física",LEN($E$48)&lt;1),1,IF(LEN(E145)&gt;0,1,0))</f>
        <v/>
      </c>
      <c r="C145" s="190">
        <f>IF(B145=0,"*","")</f>
        <v/>
      </c>
      <c r="D145" s="241" t="inlineStr">
        <is>
          <t>No. de acciones:</t>
        </is>
      </c>
      <c r="E145" s="216" t="n"/>
      <c r="F145" s="671" t="n"/>
      <c r="G145" s="671" t="n"/>
      <c r="H145" s="672" t="n"/>
      <c r="I145" s="216" t="n"/>
      <c r="J145" s="671" t="n"/>
      <c r="K145" s="671" t="n"/>
      <c r="L145" s="672" t="n"/>
      <c r="M145" s="216" t="n"/>
      <c r="N145" s="671" t="n"/>
      <c r="O145" s="671" t="n"/>
      <c r="P145" s="672" t="n"/>
      <c r="Q145" s="216" t="n"/>
      <c r="R145" s="671" t="n"/>
      <c r="S145" s="671" t="n"/>
      <c r="T145" s="672" t="n"/>
      <c r="U145" s="216" t="n"/>
      <c r="V145" s="671" t="n"/>
      <c r="W145" s="671" t="n"/>
      <c r="X145" s="672" t="n"/>
      <c r="Y145" s="727" t="n"/>
      <c r="Z145" s="728" t="n"/>
      <c r="AA145" s="729" t="n"/>
      <c r="AB145" s="624" t="n"/>
      <c r="AC145" s="9" t="n"/>
    </row>
    <row r="146" ht="27" customHeight="1" thickBot="1">
      <c r="B146" s="187">
        <f>IF(OR($E$48="Persona Física",LEN($E$48)&lt;1),1,IF(LEN(E146)&gt;0,1,0))</f>
        <v/>
      </c>
      <c r="C146" s="190">
        <f>IF(B146=0,"*","")</f>
        <v/>
      </c>
      <c r="D146" s="242" t="inlineStr">
        <is>
          <t>% participación:</t>
        </is>
      </c>
      <c r="E146" s="235" t="n"/>
      <c r="F146" s="679" t="n"/>
      <c r="G146" s="679" t="n"/>
      <c r="H146" s="680" t="n"/>
      <c r="I146" s="235" t="n"/>
      <c r="J146" s="679" t="n"/>
      <c r="K146" s="679" t="n"/>
      <c r="L146" s="680" t="n"/>
      <c r="M146" s="235" t="n"/>
      <c r="N146" s="679" t="n"/>
      <c r="O146" s="679" t="n"/>
      <c r="P146" s="680" t="n"/>
      <c r="Q146" s="235" t="n"/>
      <c r="R146" s="679" t="n"/>
      <c r="S146" s="679" t="n"/>
      <c r="T146" s="680" t="n"/>
      <c r="U146" s="235" t="n"/>
      <c r="V146" s="679" t="n"/>
      <c r="W146" s="679" t="n"/>
      <c r="X146" s="680" t="n"/>
      <c r="Y146" s="730" t="n"/>
      <c r="Z146" s="668" t="n"/>
      <c r="AA146" s="669" t="n"/>
      <c r="AB146" s="624" t="n"/>
      <c r="AC146" s="9" t="n"/>
    </row>
    <row r="147" ht="31.5" customHeight="1" thickBot="1">
      <c r="B147" s="187" t="n"/>
      <c r="E147" s="624" t="n"/>
      <c r="F147" s="624" t="n"/>
      <c r="G147" s="624" t="n"/>
      <c r="H147" s="624" t="n"/>
      <c r="I147" s="624" t="n"/>
      <c r="J147" s="624" t="n"/>
      <c r="K147" s="624" t="n"/>
      <c r="L147" s="624" t="n"/>
      <c r="M147" s="624" t="n"/>
      <c r="N147" s="624" t="n"/>
      <c r="O147" s="624" t="n"/>
      <c r="P147" s="624" t="n"/>
      <c r="Q147" s="624" t="n"/>
      <c r="R147" s="624" t="n"/>
      <c r="S147" s="624" t="n"/>
      <c r="T147" s="624" t="n"/>
      <c r="U147" s="624" t="n"/>
      <c r="V147" s="624" t="n"/>
      <c r="W147" s="624" t="n"/>
      <c r="X147" s="624" t="n"/>
      <c r="Y147" s="624" t="n"/>
      <c r="Z147" s="624" t="n"/>
      <c r="AA147" s="624" t="n"/>
      <c r="AB147" s="624" t="n"/>
      <c r="AC147" s="9" t="n"/>
    </row>
    <row r="148" ht="31.5" customHeight="1" thickBot="1">
      <c r="B148" s="187" t="n"/>
      <c r="D148" s="654">
        <f>IF(OR($E$48="Persona Física",LEN($E$48)&lt;1),"NA","PODER NOTARIAL PARA SUSCRIBIR DOCUMENTOS DE CRÉDITO")</f>
        <v/>
      </c>
      <c r="E148" s="655" t="n"/>
      <c r="F148" s="655" t="n"/>
      <c r="G148" s="655" t="n"/>
      <c r="H148" s="655" t="n"/>
      <c r="I148" s="655" t="n"/>
      <c r="J148" s="655" t="n"/>
      <c r="K148" s="655" t="n"/>
      <c r="L148" s="655" t="n"/>
      <c r="M148" s="655" t="n"/>
      <c r="N148" s="655" t="n"/>
      <c r="O148" s="655" t="n"/>
      <c r="P148" s="655" t="n"/>
      <c r="Q148" s="655" t="n"/>
      <c r="R148" s="655" t="n"/>
      <c r="S148" s="655" t="n"/>
      <c r="T148" s="655" t="n"/>
      <c r="U148" s="655" t="n"/>
      <c r="V148" s="655" t="n"/>
      <c r="W148" s="655" t="n"/>
      <c r="X148" s="655" t="n"/>
      <c r="Y148" s="655" t="n"/>
      <c r="Z148" s="655" t="n"/>
      <c r="AA148" s="656" t="n"/>
      <c r="AB148" s="401" t="n"/>
      <c r="AC148" s="9" t="n"/>
    </row>
    <row r="149" ht="31.5" customHeight="1">
      <c r="B149" s="187" t="n"/>
      <c r="D149" s="47" t="n"/>
      <c r="E149" s="355" t="inlineStr">
        <is>
          <t>Persona  1</t>
        </is>
      </c>
      <c r="F149" s="693" t="n"/>
      <c r="G149" s="693" t="n"/>
      <c r="H149" s="694" t="n"/>
      <c r="I149" s="356" t="inlineStr">
        <is>
          <t>Persona  2</t>
        </is>
      </c>
      <c r="J149" s="693" t="n"/>
      <c r="K149" s="693" t="n"/>
      <c r="L149" s="694" t="n"/>
      <c r="M149" s="356" t="inlineStr">
        <is>
          <t>Persona  3</t>
        </is>
      </c>
      <c r="N149" s="693" t="n"/>
      <c r="O149" s="693" t="n"/>
      <c r="P149" s="694" t="n"/>
      <c r="Q149" s="356" t="inlineStr">
        <is>
          <t>Persona  4</t>
        </is>
      </c>
      <c r="R149" s="693" t="n"/>
      <c r="S149" s="693" t="n"/>
      <c r="T149" s="694" t="n"/>
      <c r="U149" s="356" t="inlineStr">
        <is>
          <t>Persona  5</t>
        </is>
      </c>
      <c r="V149" s="693" t="n"/>
      <c r="W149" s="693" t="n"/>
      <c r="X149" s="694" t="n"/>
      <c r="Y149" s="374" t="n"/>
      <c r="Z149" s="693" t="n"/>
      <c r="AA149" s="694" t="n"/>
      <c r="AB149" s="145" t="n"/>
      <c r="AC149" s="9" t="n"/>
    </row>
    <row r="150" ht="25.5" customHeight="1">
      <c r="B150" s="187">
        <f>IF(OR($E$48="Persona Física",LEN($E$48)&lt;1),1,IF(LEN(E150)&gt;1,1,0))</f>
        <v/>
      </c>
      <c r="C150" s="190">
        <f>IF(B150=0,"*","")</f>
        <v/>
      </c>
      <c r="D150" s="241" t="inlineStr">
        <is>
          <t>Nombre:</t>
        </is>
      </c>
      <c r="E150" s="280" t="n"/>
      <c r="F150" s="671" t="n"/>
      <c r="G150" s="671" t="n"/>
      <c r="H150" s="672" t="n"/>
      <c r="I150" s="236" t="n"/>
      <c r="J150" s="671" t="n"/>
      <c r="K150" s="671" t="n"/>
      <c r="L150" s="672" t="n"/>
      <c r="M150" s="236" t="n"/>
      <c r="N150" s="671" t="n"/>
      <c r="O150" s="671" t="n"/>
      <c r="P150" s="672" t="n"/>
      <c r="Q150" s="236" t="n"/>
      <c r="R150" s="671" t="n"/>
      <c r="S150" s="671" t="n"/>
      <c r="T150" s="672" t="n"/>
      <c r="U150" s="236" t="n"/>
      <c r="V150" s="671" t="n"/>
      <c r="W150" s="671" t="n"/>
      <c r="X150" s="672" t="n"/>
      <c r="Y150" s="236" t="n"/>
      <c r="Z150" s="674" t="n"/>
      <c r="AA150" s="726" t="n"/>
      <c r="AB150" s="432" t="n"/>
      <c r="AC150" s="9" t="n"/>
    </row>
    <row r="151" ht="29.1" customHeight="1" thickBot="1">
      <c r="B151" s="187">
        <f>IF(OR($E$48="Persona Física",LEN($E$48)&lt;1),1,IF(LEN(E151)&gt;1,1,0))</f>
        <v/>
      </c>
      <c r="C151" s="190">
        <f>IF(B151=0,"*","")</f>
        <v/>
      </c>
      <c r="D151" s="242" t="inlineStr">
        <is>
          <t>Puesto:</t>
        </is>
      </c>
      <c r="E151" s="580" t="n"/>
      <c r="F151" s="679" t="n"/>
      <c r="G151" s="679" t="n"/>
      <c r="H151" s="680" t="n"/>
      <c r="I151" s="215" t="n"/>
      <c r="J151" s="679" t="n"/>
      <c r="K151" s="679" t="n"/>
      <c r="L151" s="680" t="n"/>
      <c r="M151" s="215" t="n"/>
      <c r="N151" s="679" t="n"/>
      <c r="O151" s="679" t="n"/>
      <c r="P151" s="680" t="n"/>
      <c r="Q151" s="215" t="n"/>
      <c r="R151" s="679" t="n"/>
      <c r="S151" s="679" t="n"/>
      <c r="T151" s="680" t="n"/>
      <c r="U151" s="215" t="n"/>
      <c r="V151" s="679" t="n"/>
      <c r="W151" s="679" t="n"/>
      <c r="X151" s="680" t="n"/>
      <c r="Y151" s="730" t="n"/>
      <c r="Z151" s="668" t="n"/>
      <c r="AA151" s="669" t="n"/>
      <c r="AB151" s="432" t="n"/>
      <c r="AC151" s="9" t="n"/>
    </row>
    <row r="152" ht="27" customHeight="1" thickBot="1">
      <c r="B152" s="187" t="n"/>
      <c r="E152" s="624" t="n"/>
      <c r="F152" s="624" t="n"/>
      <c r="G152" s="624" t="n"/>
      <c r="H152" s="624" t="n"/>
      <c r="I152" s="624" t="n"/>
      <c r="J152" s="624" t="n"/>
      <c r="K152" s="624" t="n"/>
      <c r="L152" s="624" t="n"/>
      <c r="M152" s="624" t="n"/>
      <c r="N152" s="624" t="n"/>
      <c r="O152" s="624" t="n"/>
      <c r="P152" s="624" t="n"/>
      <c r="Q152" s="624" t="n"/>
      <c r="R152" s="624" t="n"/>
      <c r="S152" s="624" t="n"/>
      <c r="T152" s="624" t="n"/>
      <c r="U152" s="624" t="n"/>
      <c r="V152" s="624" t="n"/>
      <c r="W152" s="624" t="n"/>
      <c r="X152" s="624" t="n"/>
      <c r="AC152" s="9" t="n"/>
    </row>
    <row r="153" ht="35.4" customHeight="1" thickBot="1">
      <c r="B153" s="187" t="n"/>
      <c r="D153" s="731" t="inlineStr">
        <is>
          <t>NOMINA DE AUTORIDADES: CONSEJO DE ADMINISTRACIÓN Y/O DIRECTIVOS</t>
        </is>
      </c>
      <c r="E153" s="658" t="n"/>
      <c r="F153" s="658" t="n"/>
      <c r="G153" s="658" t="n"/>
      <c r="H153" s="658" t="n"/>
      <c r="I153" s="658" t="n"/>
      <c r="J153" s="658" t="n"/>
      <c r="K153" s="658" t="n"/>
      <c r="L153" s="658" t="n"/>
      <c r="M153" s="658" t="n"/>
      <c r="N153" s="658" t="n"/>
      <c r="O153" s="658" t="n"/>
      <c r="P153" s="658" t="n"/>
      <c r="Q153" s="658" t="n"/>
      <c r="R153" s="658" t="n"/>
      <c r="S153" s="658" t="n"/>
      <c r="T153" s="658" t="n"/>
      <c r="U153" s="658" t="n"/>
      <c r="V153" s="658" t="n"/>
      <c r="W153" s="658" t="n"/>
      <c r="X153" s="658" t="n"/>
      <c r="Y153" s="658" t="n"/>
      <c r="Z153" s="658" t="n"/>
      <c r="AA153" s="659" t="n"/>
      <c r="AB153" s="401" t="n"/>
      <c r="AC153" s="9" t="n"/>
    </row>
    <row r="154" ht="32.4" customHeight="1">
      <c r="B154" s="187" t="n"/>
      <c r="D154" s="182" t="n"/>
      <c r="E154" s="571" t="inlineStr">
        <is>
          <t>ADMIN/DIRECTIVO 1</t>
        </is>
      </c>
      <c r="F154" s="732" t="n"/>
      <c r="G154" s="732" t="n"/>
      <c r="H154" s="733" t="n"/>
      <c r="I154" s="571" t="inlineStr">
        <is>
          <t>ADMIN/DIRECTIVO 2</t>
        </is>
      </c>
      <c r="J154" s="732" t="n"/>
      <c r="K154" s="732" t="n"/>
      <c r="L154" s="733" t="n"/>
      <c r="M154" s="571" t="inlineStr">
        <is>
          <t>ADMIN/DIRECTIVO 3</t>
        </is>
      </c>
      <c r="N154" s="732" t="n"/>
      <c r="O154" s="732" t="n"/>
      <c r="P154" s="733" t="n"/>
      <c r="Q154" s="571" t="inlineStr">
        <is>
          <t>ADMIN/DIRECTIVO 4</t>
        </is>
      </c>
      <c r="R154" s="732" t="n"/>
      <c r="S154" s="732" t="n"/>
      <c r="T154" s="733" t="n"/>
      <c r="U154" s="571" t="inlineStr">
        <is>
          <t>ADMIN/DIRECTIVO 5</t>
        </is>
      </c>
      <c r="V154" s="732" t="n"/>
      <c r="W154" s="732" t="n"/>
      <c r="X154" s="733" t="n"/>
      <c r="Y154" s="342" t="inlineStr">
        <is>
          <t>Agregue el resto de admins</t>
        </is>
      </c>
      <c r="Z154" s="732" t="n"/>
      <c r="AA154" s="733" t="n"/>
      <c r="AB154" s="144" t="n"/>
      <c r="AC154" s="9" t="n"/>
    </row>
    <row r="155" ht="16.5" customHeight="1">
      <c r="B155" s="187">
        <f>IF(LEN(E155)&gt;1,1,0)</f>
        <v/>
      </c>
      <c r="C155" s="190">
        <f>IF(B155=0,"*","")</f>
        <v/>
      </c>
      <c r="D155" s="183" t="inlineStr">
        <is>
          <t>Nombre:</t>
        </is>
      </c>
      <c r="E155" s="734" t="inlineStr">
        <is>
          <t>Luis Gustavo Chanferoni</t>
        </is>
      </c>
      <c r="F155" s="735" t="n"/>
      <c r="G155" s="735" t="n"/>
      <c r="H155" s="736" t="n"/>
      <c r="I155" s="238" t="n"/>
      <c r="J155" s="735" t="n"/>
      <c r="K155" s="735" t="n"/>
      <c r="L155" s="736" t="n"/>
      <c r="M155" s="238" t="n"/>
      <c r="N155" s="735" t="n"/>
      <c r="O155" s="735" t="n"/>
      <c r="P155" s="736" t="n"/>
      <c r="Q155" s="238" t="n"/>
      <c r="R155" s="735" t="n"/>
      <c r="S155" s="735" t="n"/>
      <c r="T155" s="736" t="n"/>
      <c r="U155" s="238" t="n"/>
      <c r="V155" s="735" t="n"/>
      <c r="W155" s="735" t="n"/>
      <c r="X155" s="736" t="n"/>
      <c r="Y155" s="344" t="n"/>
      <c r="Z155" s="737" t="n"/>
      <c r="AA155" s="738" t="n"/>
      <c r="AB155" s="92" t="n"/>
      <c r="AC155" s="9" t="n"/>
    </row>
    <row r="156" ht="16.5" customHeight="1">
      <c r="B156" s="187">
        <f>IF(LEN(E156)&gt;1,1,0)</f>
        <v/>
      </c>
      <c r="C156" s="190">
        <f>IF(B156=0,"*","")</f>
        <v/>
      </c>
      <c r="D156" s="183" t="inlineStr">
        <is>
          <t>Puesto:</t>
        </is>
      </c>
      <c r="E156" s="734" t="inlineStr">
        <is>
          <t>Titular</t>
        </is>
      </c>
      <c r="F156" s="735" t="n"/>
      <c r="G156" s="735" t="n"/>
      <c r="H156" s="736" t="n"/>
      <c r="I156" s="238" t="n"/>
      <c r="J156" s="735" t="n"/>
      <c r="K156" s="735" t="n"/>
      <c r="L156" s="736" t="n"/>
      <c r="M156" s="238" t="n"/>
      <c r="N156" s="735" t="n"/>
      <c r="O156" s="735" t="n"/>
      <c r="P156" s="736" t="n"/>
      <c r="Q156" s="238" t="n"/>
      <c r="R156" s="735" t="n"/>
      <c r="S156" s="735" t="n"/>
      <c r="T156" s="736" t="n"/>
      <c r="U156" s="238" t="n"/>
      <c r="V156" s="735" t="n"/>
      <c r="W156" s="735" t="n"/>
      <c r="X156" s="736" t="n"/>
      <c r="Y156" s="739" t="n"/>
      <c r="Z156" s="728" t="n"/>
      <c r="AA156" s="740" t="n"/>
      <c r="AB156" s="92" t="n"/>
      <c r="AC156" s="9" t="n"/>
    </row>
    <row r="157" ht="16.5" customHeight="1">
      <c r="B157" s="187">
        <f>IF(LEN(E157)&gt;1,1,0)</f>
        <v/>
      </c>
      <c r="C157" s="190">
        <f>IF(B157=0,"*","")</f>
        <v/>
      </c>
      <c r="D157" s="183" t="inlineStr">
        <is>
          <t>E-mail:</t>
        </is>
      </c>
      <c r="E157" s="734" t="inlineStr">
        <is>
          <t>info@bioenlace.io</t>
        </is>
      </c>
      <c r="F157" s="735" t="n"/>
      <c r="G157" s="735" t="n"/>
      <c r="H157" s="736" t="n"/>
      <c r="I157" s="238" t="n"/>
      <c r="J157" s="735" t="n"/>
      <c r="K157" s="735" t="n"/>
      <c r="L157" s="736" t="n"/>
      <c r="M157" s="238" t="n"/>
      <c r="N157" s="735" t="n"/>
      <c r="O157" s="735" t="n"/>
      <c r="P157" s="736" t="n"/>
      <c r="Q157" s="238" t="n"/>
      <c r="R157" s="735" t="n"/>
      <c r="S157" s="735" t="n"/>
      <c r="T157" s="736" t="n"/>
      <c r="U157" s="238" t="n"/>
      <c r="V157" s="735" t="n"/>
      <c r="W157" s="735" t="n"/>
      <c r="X157" s="736" t="n"/>
      <c r="Y157" s="741" t="n"/>
      <c r="Z157" s="742" t="n"/>
      <c r="AA157" s="743" t="n"/>
      <c r="AB157" s="92" t="n"/>
      <c r="AC157" s="9" t="n"/>
    </row>
    <row r="158" ht="28.5" customHeight="1">
      <c r="B158" s="187" t="n"/>
      <c r="D158" s="227" t="n"/>
      <c r="E158" s="744" t="n"/>
      <c r="F158" s="744" t="n"/>
      <c r="G158" s="744" t="n"/>
      <c r="H158" s="744" t="n"/>
      <c r="I158" s="744" t="n"/>
      <c r="J158" s="744" t="n"/>
      <c r="K158" s="744" t="n"/>
      <c r="L158" s="744" t="n"/>
      <c r="M158" s="744" t="n"/>
      <c r="N158" s="744" t="n"/>
      <c r="O158" s="744" t="n"/>
      <c r="P158" s="744" t="n"/>
      <c r="Q158" s="744" t="n"/>
      <c r="R158" s="744" t="n"/>
      <c r="S158" s="744" t="n"/>
      <c r="T158" s="744" t="n"/>
      <c r="U158" s="744" t="n"/>
      <c r="V158" s="744" t="n"/>
      <c r="W158" s="744" t="n"/>
      <c r="X158" s="744" t="n"/>
      <c r="Y158" s="92" t="n"/>
      <c r="Z158" s="92" t="n"/>
      <c r="AA158" s="184" t="n"/>
      <c r="AB158" s="92" t="n"/>
      <c r="AC158" s="9" t="n"/>
    </row>
    <row r="159" ht="16.5" customHeight="1">
      <c r="B159" s="187" t="n"/>
      <c r="D159" s="181" t="n"/>
      <c r="E159" s="432" t="n"/>
      <c r="F159" s="432" t="n"/>
      <c r="G159" s="432" t="n"/>
      <c r="H159" s="432" t="n"/>
      <c r="I159" s="432" t="n"/>
      <c r="J159" s="432" t="n"/>
      <c r="K159" s="432" t="n"/>
      <c r="L159" s="432" t="n"/>
      <c r="M159" s="432" t="n"/>
      <c r="N159" s="432" t="n"/>
      <c r="O159" s="432" t="n"/>
      <c r="P159" s="432" t="n"/>
      <c r="Q159" s="432" t="n"/>
      <c r="R159" s="432" t="n"/>
      <c r="S159" s="432" t="n"/>
      <c r="T159" s="432" t="n"/>
      <c r="U159" s="432" t="n"/>
      <c r="V159" s="432" t="n"/>
      <c r="W159" s="432" t="n"/>
      <c r="X159" s="432" t="n"/>
      <c r="Y159" s="92" t="n"/>
      <c r="Z159" s="92" t="n"/>
      <c r="AA159" s="92" t="n"/>
      <c r="AB159" s="92" t="n"/>
      <c r="AC159" s="9" t="n"/>
    </row>
    <row r="160" ht="27.9" customHeight="1" thickBot="1">
      <c r="B160" s="187" t="n"/>
      <c r="D160" s="36" t="n"/>
      <c r="E160" s="624" t="n"/>
      <c r="F160" s="624" t="n"/>
      <c r="G160" s="624" t="n"/>
      <c r="H160" s="624" t="n"/>
      <c r="I160" s="84" t="n"/>
      <c r="J160" s="84" t="n"/>
      <c r="K160" s="84" t="n"/>
      <c r="L160" s="84" t="n"/>
      <c r="M160" s="84" t="n"/>
      <c r="N160" s="84" t="n"/>
      <c r="O160" s="84" t="n"/>
      <c r="P160" s="84" t="n"/>
      <c r="Q160" s="84" t="n"/>
      <c r="R160" s="84" t="n"/>
      <c r="S160" s="84" t="n"/>
      <c r="T160" s="84" t="n"/>
      <c r="U160" s="84" t="n"/>
      <c r="V160" s="84" t="n"/>
      <c r="W160" s="84" t="n"/>
      <c r="X160" s="84" t="n"/>
      <c r="Y160" s="84" t="n"/>
      <c r="Z160" s="84" t="n"/>
      <c r="AA160" s="84" t="n"/>
      <c r="AB160" s="624" t="n"/>
      <c r="AC160" s="9" t="n"/>
    </row>
    <row r="161" ht="33.9" customHeight="1" thickBot="1">
      <c r="B161" s="187">
        <f>SUM(B162:B227)/COUNT(B162:B227)</f>
        <v/>
      </c>
      <c r="C161" s="190">
        <f>IF(B161=0,"*","")</f>
        <v/>
      </c>
      <c r="D161" s="712" t="inlineStr">
        <is>
          <t>CONTROL DE LA EMPRESA</t>
        </is>
      </c>
      <c r="E161" s="655" t="n"/>
      <c r="F161" s="655" t="n"/>
      <c r="G161" s="655" t="n"/>
      <c r="H161" s="655" t="n"/>
      <c r="I161" s="655" t="n"/>
      <c r="J161" s="655" t="n"/>
      <c r="K161" s="655" t="n"/>
      <c r="L161" s="655" t="n"/>
      <c r="M161" s="655" t="n"/>
      <c r="N161" s="655" t="n"/>
      <c r="O161" s="655" t="n"/>
      <c r="P161" s="655" t="n"/>
      <c r="Q161" s="655" t="n"/>
      <c r="R161" s="655" t="n"/>
      <c r="S161" s="655" t="n"/>
      <c r="T161" s="655" t="n"/>
      <c r="U161" s="655" t="n"/>
      <c r="V161" s="655" t="n"/>
      <c r="W161" s="655" t="n"/>
      <c r="X161" s="655" t="n"/>
      <c r="Y161" s="655" t="n"/>
      <c r="Z161" s="655" t="n"/>
      <c r="AA161" s="656" t="n"/>
      <c r="AB161" s="113" t="n"/>
      <c r="AC161" s="9" t="n"/>
    </row>
    <row r="162" ht="36.6" customHeight="1">
      <c r="B162" s="187">
        <f>IF(OR($E$48="Persona Física",LEN($E$48)&lt;1),1,IF(LEN(E162)&gt;1,1,0))</f>
        <v/>
      </c>
      <c r="C162" s="190">
        <f>IF(B162=0,"*","")</f>
        <v/>
      </c>
      <c r="D162" s="48">
        <f>IF(OR($E$48="Persona Física",LEN($E$48)&lt;1),"","Los accionistas actuales tomaron el control de la empresa desde el año:")</f>
        <v/>
      </c>
      <c r="E162" s="484" t="n"/>
      <c r="F162" s="668" t="n"/>
      <c r="G162" s="668" t="n"/>
      <c r="H162" s="669" t="n"/>
      <c r="I162" s="594" t="n"/>
      <c r="J162" s="29" t="n"/>
      <c r="K162" s="29" t="n"/>
      <c r="L162" s="29" t="n"/>
      <c r="M162" s="29" t="n"/>
      <c r="N162" s="29" t="n"/>
      <c r="O162" s="29" t="n"/>
      <c r="P162" s="29" t="n"/>
      <c r="Q162" s="29" t="n"/>
      <c r="R162" s="29" t="n"/>
      <c r="S162" s="29" t="n"/>
      <c r="T162" s="29" t="n"/>
      <c r="U162" s="29" t="n"/>
      <c r="V162" s="29" t="n"/>
      <c r="W162" s="29" t="n"/>
      <c r="X162" s="29" t="n"/>
      <c r="Y162" s="29" t="n"/>
      <c r="Z162" s="29" t="n"/>
      <c r="AA162" s="708" t="n"/>
      <c r="AB162" s="624" t="n"/>
      <c r="AC162" s="9" t="n"/>
    </row>
    <row r="163">
      <c r="B163" s="187">
        <f>IF(LEN(E163)&gt;1,1,0)</f>
        <v/>
      </c>
      <c r="C163" s="190">
        <f>IF(B163=0,"*","")</f>
        <v/>
      </c>
      <c r="D163" s="241" t="inlineStr">
        <is>
          <t>¿Representa a alguna compañía extranjera?</t>
        </is>
      </c>
      <c r="E163" s="706" t="inlineStr">
        <is>
          <t>No</t>
        </is>
      </c>
      <c r="F163" s="671" t="n"/>
      <c r="G163" s="671" t="n"/>
      <c r="H163" s="672" t="n"/>
      <c r="I163" s="692" t="n"/>
      <c r="J163" s="693" t="n"/>
      <c r="K163" s="693" t="n"/>
      <c r="L163" s="693" t="n"/>
      <c r="M163" s="693" t="n"/>
      <c r="N163" s="693" t="n"/>
      <c r="O163" s="693" t="n"/>
      <c r="P163" s="693" t="n"/>
      <c r="Q163" s="693" t="n"/>
      <c r="R163" s="693" t="n"/>
      <c r="S163" s="693" t="n"/>
      <c r="T163" s="693" t="n"/>
      <c r="U163" s="693" t="n"/>
      <c r="V163" s="693" t="n"/>
      <c r="W163" s="693" t="n"/>
      <c r="X163" s="693" t="n"/>
      <c r="Y163" s="693" t="n"/>
      <c r="Z163" s="693" t="n"/>
      <c r="AA163" s="694" t="n"/>
      <c r="AB163" s="624" t="n"/>
      <c r="AC163" s="9" t="n"/>
    </row>
    <row r="164" ht="22.5" customHeight="1">
      <c r="B164" s="187">
        <f>IF(OR($E$163="No",LEN($E$163)&lt;1),1,IF(LEN(E164)&gt;1,1,0))</f>
        <v/>
      </c>
      <c r="C164" s="190">
        <f>IF(B164=0,"*","")</f>
        <v/>
      </c>
      <c r="D164" s="241" t="inlineStr">
        <is>
          <t>Nombre del Grupo:</t>
        </is>
      </c>
      <c r="E164" s="706" t="inlineStr">
        <is>
          <t>NA</t>
        </is>
      </c>
      <c r="F164" s="671" t="n"/>
      <c r="G164" s="671" t="n"/>
      <c r="H164" s="671" t="n"/>
      <c r="I164" s="671" t="n"/>
      <c r="J164" s="671" t="n"/>
      <c r="K164" s="671" t="n"/>
      <c r="L164" s="671" t="n"/>
      <c r="M164" s="671" t="n"/>
      <c r="N164" s="671" t="n"/>
      <c r="O164" s="671" t="n"/>
      <c r="P164" s="671" t="n"/>
      <c r="Q164" s="671" t="n"/>
      <c r="R164" s="671" t="n"/>
      <c r="S164" s="671" t="n"/>
      <c r="T164" s="671" t="n"/>
      <c r="U164" s="671" t="n"/>
      <c r="V164" s="671" t="n"/>
      <c r="W164" s="671" t="n"/>
      <c r="X164" s="671" t="n"/>
      <c r="Y164" s="671" t="n"/>
      <c r="Z164" s="671" t="n"/>
      <c r="AA164" s="672" t="n"/>
      <c r="AB164" s="135" t="n"/>
      <c r="AC164" s="9" t="n"/>
    </row>
    <row r="165">
      <c r="B165" s="187">
        <f>IF(OR($E$163="No",LEN($E$163)&lt;1),1,IF(LEN(E165)&gt;1,1,0))</f>
        <v/>
      </c>
      <c r="C165" s="190">
        <f>IF(B165=0,"*","")</f>
        <v/>
      </c>
      <c r="D165" s="241" t="inlineStr">
        <is>
          <t>País de Origen:</t>
        </is>
      </c>
      <c r="E165" s="706" t="inlineStr">
        <is>
          <t>NA</t>
        </is>
      </c>
      <c r="F165" s="671" t="n"/>
      <c r="G165" s="671" t="n"/>
      <c r="H165" s="672" t="n"/>
      <c r="I165" s="745" t="n"/>
      <c r="J165" s="689" t="n"/>
      <c r="K165" s="689" t="n"/>
      <c r="L165" s="689" t="n"/>
      <c r="M165" s="689" t="n"/>
      <c r="N165" s="689" t="n"/>
      <c r="O165" s="689" t="n"/>
      <c r="P165" s="689" t="n"/>
      <c r="Q165" s="689" t="n"/>
      <c r="R165" s="689" t="n"/>
      <c r="S165" s="689" t="n"/>
      <c r="T165" s="689" t="n"/>
      <c r="U165" s="689" t="n"/>
      <c r="V165" s="689" t="n"/>
      <c r="W165" s="689" t="n"/>
      <c r="X165" s="689" t="n"/>
      <c r="Y165" s="689" t="n"/>
      <c r="Z165" s="689" t="n"/>
      <c r="AA165" s="746" t="n"/>
      <c r="AB165" s="326" t="n"/>
      <c r="AC165" s="9" t="n"/>
    </row>
    <row r="166">
      <c r="B166" s="187">
        <f>IF(LEN(E166)&gt;1,1,0)</f>
        <v/>
      </c>
      <c r="C166" s="190">
        <f>IF(B166=0,"*","")</f>
        <v/>
      </c>
      <c r="D166" s="241" t="inlineStr">
        <is>
          <t>¿Pertenece a un grupo comercial?</t>
        </is>
      </c>
      <c r="E166" s="706" t="inlineStr">
        <is>
          <t>No</t>
        </is>
      </c>
      <c r="F166" s="671" t="n"/>
      <c r="G166" s="671" t="n"/>
      <c r="H166" s="672" t="n"/>
      <c r="I166" s="707" t="n"/>
      <c r="J166" s="29" t="n"/>
      <c r="K166" s="29" t="n"/>
      <c r="L166" s="29" t="n"/>
      <c r="M166" s="29" t="n"/>
      <c r="N166" s="29" t="n"/>
      <c r="O166" s="29" t="n"/>
      <c r="P166" s="29" t="n"/>
      <c r="Q166" s="29" t="n"/>
      <c r="R166" s="29" t="n"/>
      <c r="S166" s="29" t="n"/>
      <c r="T166" s="29" t="n"/>
      <c r="U166" s="29" t="n"/>
      <c r="V166" s="29" t="n"/>
      <c r="W166" s="29" t="n"/>
      <c r="X166" s="29" t="n"/>
      <c r="Y166" s="29" t="n"/>
      <c r="Z166" s="29" t="n"/>
      <c r="AA166" s="661" t="n"/>
      <c r="AB166" s="326" t="n"/>
      <c r="AC166" s="9" t="n"/>
    </row>
    <row r="167">
      <c r="B167" s="187">
        <f>IF(OR($E$48="Persona Física",LEN($E$48)&lt;1),1,IF(LEN(E167)&gt;1,1,0))</f>
        <v/>
      </c>
      <c r="C167" s="190">
        <f>IF(B167=0,"*","")</f>
        <v/>
      </c>
      <c r="D167" s="241">
        <f>IF(OR($E$48="Persona Física",LEN($E$48)&lt;1),"","¿Tiene compañías subsidiarias?")</f>
        <v/>
      </c>
      <c r="E167" s="706" t="inlineStr">
        <is>
          <t>No</t>
        </is>
      </c>
      <c r="F167" s="671" t="n"/>
      <c r="G167" s="671" t="n"/>
      <c r="H167" s="672" t="n"/>
      <c r="I167" s="707" t="n"/>
      <c r="J167" s="29" t="n"/>
      <c r="K167" s="29" t="n"/>
      <c r="L167" s="29" t="n"/>
      <c r="M167" s="29" t="n"/>
      <c r="N167" s="29" t="n"/>
      <c r="O167" s="29" t="n"/>
      <c r="P167" s="29" t="n"/>
      <c r="Q167" s="29" t="n"/>
      <c r="R167" s="29" t="n"/>
      <c r="S167" s="29" t="n"/>
      <c r="T167" s="29" t="n"/>
      <c r="U167" s="29" t="n"/>
      <c r="V167" s="29" t="n"/>
      <c r="W167" s="29" t="n"/>
      <c r="X167" s="29" t="n"/>
      <c r="Y167" s="29" t="n"/>
      <c r="Z167" s="29" t="n"/>
      <c r="AA167" s="661" t="n"/>
      <c r="AB167" s="326" t="n"/>
      <c r="AC167" s="9" t="n"/>
    </row>
    <row r="168">
      <c r="B168" s="187">
        <f>IF(OR($E$48="Persona Física",LEN($E$48)&lt;1),1,IF(LEN(E168)&gt;1,1,0))</f>
        <v/>
      </c>
      <c r="C168" s="190">
        <f>IF(B168=0,"*","")</f>
        <v/>
      </c>
      <c r="D168" s="241">
        <f>IF(OR($E$48="Persona Física",LEN($E$48)&lt;1),"","¿Tiene compañías filiales?")</f>
        <v/>
      </c>
      <c r="E168" s="706" t="inlineStr">
        <is>
          <t>No</t>
        </is>
      </c>
      <c r="F168" s="671" t="n"/>
      <c r="G168" s="671" t="n"/>
      <c r="H168" s="672" t="n"/>
      <c r="I168" s="707" t="n"/>
      <c r="J168" s="29" t="n"/>
      <c r="K168" s="29" t="n"/>
      <c r="L168" s="29" t="n"/>
      <c r="M168" s="29" t="n"/>
      <c r="N168" s="29" t="n"/>
      <c r="O168" s="29" t="n"/>
      <c r="P168" s="29" t="n"/>
      <c r="Q168" s="29" t="n"/>
      <c r="R168" s="29" t="n"/>
      <c r="S168" s="29" t="n"/>
      <c r="T168" s="29" t="n"/>
      <c r="U168" s="29" t="n"/>
      <c r="V168" s="29" t="n"/>
      <c r="W168" s="29" t="n"/>
      <c r="X168" s="29" t="n"/>
      <c r="Y168" s="29" t="n"/>
      <c r="Z168" s="29" t="n"/>
      <c r="AA168" s="661" t="n"/>
      <c r="AB168" s="326" t="n"/>
      <c r="AC168" s="9" t="n"/>
    </row>
    <row r="169">
      <c r="B169" s="187">
        <f>IF(LEN(E169)&gt;1,1,0)</f>
        <v/>
      </c>
      <c r="C169" s="190">
        <f>IF(B169=0,"*","")</f>
        <v/>
      </c>
      <c r="D169" s="241" t="inlineStr">
        <is>
          <t xml:space="preserve">¿Cuenta con sucursales? </t>
        </is>
      </c>
      <c r="E169" s="706" t="inlineStr">
        <is>
          <t>No</t>
        </is>
      </c>
      <c r="F169" s="671" t="n"/>
      <c r="G169" s="671" t="n"/>
      <c r="H169" s="672" t="n"/>
      <c r="I169" s="707" t="n"/>
      <c r="J169" s="29" t="n"/>
      <c r="K169" s="29" t="n"/>
      <c r="L169" s="29" t="n"/>
      <c r="M169" s="29" t="n"/>
      <c r="N169" s="29" t="n"/>
      <c r="O169" s="29" t="n"/>
      <c r="P169" s="29" t="n"/>
      <c r="Q169" s="29" t="n"/>
      <c r="R169" s="29" t="n"/>
      <c r="S169" s="29" t="n"/>
      <c r="T169" s="29" t="n"/>
      <c r="U169" s="29" t="n"/>
      <c r="V169" s="29" t="n"/>
      <c r="W169" s="29" t="n"/>
      <c r="X169" s="29" t="n"/>
      <c r="Y169" s="29" t="n"/>
      <c r="Z169" s="29" t="n"/>
      <c r="AA169" s="661" t="n"/>
      <c r="AB169" s="326" t="n"/>
      <c r="AC169" s="9" t="n"/>
    </row>
    <row r="170" ht="27" customHeight="1" thickBot="1">
      <c r="B170" s="187">
        <f>IF(OR(E169="No",LEN(E169)&lt;1),1,IF(LEN(E170)&gt;0,1,0))</f>
        <v/>
      </c>
      <c r="C170" s="190">
        <f>IF(B170=0,"*","")</f>
        <v/>
      </c>
      <c r="D170" s="242">
        <f>IF(OR(E169="No",LEN(E169)&lt;1),"","Número total de sucursales:")</f>
        <v/>
      </c>
      <c r="E170" s="747" t="inlineStr">
        <is>
          <t>NA</t>
        </is>
      </c>
      <c r="F170" s="679" t="n"/>
      <c r="G170" s="679" t="n"/>
      <c r="H170" s="680" t="n"/>
      <c r="I170" s="748" t="n"/>
      <c r="J170" s="663" t="n"/>
      <c r="K170" s="663" t="n"/>
      <c r="L170" s="663" t="n"/>
      <c r="M170" s="663" t="n"/>
      <c r="N170" s="663" t="n"/>
      <c r="O170" s="663" t="n"/>
      <c r="P170" s="663" t="n"/>
      <c r="Q170" s="663" t="n"/>
      <c r="R170" s="663" t="n"/>
      <c r="S170" s="663" t="n"/>
      <c r="T170" s="663" t="n"/>
      <c r="U170" s="663" t="n"/>
      <c r="V170" s="663" t="n"/>
      <c r="W170" s="663" t="n"/>
      <c r="X170" s="663" t="n"/>
      <c r="Y170" s="663" t="n"/>
      <c r="Z170" s="663" t="n"/>
      <c r="AA170" s="664" t="n"/>
      <c r="AB170" s="326" t="n"/>
      <c r="AC170" s="9" t="n"/>
    </row>
    <row r="171" ht="28.5" customHeight="1" thickBot="1">
      <c r="B171" s="187" t="n"/>
      <c r="D171" s="396" t="n"/>
      <c r="E171" s="655" t="n"/>
      <c r="F171" s="655" t="n"/>
      <c r="G171" s="655" t="n"/>
      <c r="H171" s="655" t="n"/>
      <c r="I171" s="655" t="n"/>
      <c r="J171" s="655" t="n"/>
      <c r="K171" s="655" t="n"/>
      <c r="L171" s="655" t="n"/>
      <c r="M171" s="655" t="n"/>
      <c r="N171" s="655" t="n"/>
      <c r="O171" s="655" t="n"/>
      <c r="P171" s="655" t="n"/>
      <c r="Q171" s="655" t="n"/>
      <c r="R171" s="655" t="n"/>
      <c r="S171" s="655" t="n"/>
      <c r="T171" s="655" t="n"/>
      <c r="U171" s="655" t="n"/>
      <c r="V171" s="655" t="n"/>
      <c r="W171" s="655" t="n"/>
      <c r="X171" s="655" t="n"/>
      <c r="Y171" s="655" t="n"/>
      <c r="Z171" s="655" t="n"/>
      <c r="AA171" s="655" t="n"/>
      <c r="AB171" s="326" t="n"/>
      <c r="AC171" s="9" t="n"/>
    </row>
    <row r="172" ht="33.6" customHeight="1" thickBot="1">
      <c r="B172" s="187" t="n"/>
      <c r="D172" s="654">
        <f>IF(OR($E$48="Persona Física",LEN($E$48)&lt;1,$E$166="No",LEN($E$166)&lt;1),"NA","COMPAÑÍA CONTROLADORA (MATRIZ)")</f>
        <v/>
      </c>
      <c r="E172" s="655" t="n"/>
      <c r="F172" s="655" t="n"/>
      <c r="G172" s="655" t="n"/>
      <c r="H172" s="655" t="n"/>
      <c r="I172" s="655" t="n"/>
      <c r="J172" s="655" t="n"/>
      <c r="K172" s="655" t="n"/>
      <c r="L172" s="655" t="n"/>
      <c r="M172" s="655" t="n"/>
      <c r="N172" s="655" t="n"/>
      <c r="O172" s="655" t="n"/>
      <c r="P172" s="655" t="n"/>
      <c r="Q172" s="655" t="n"/>
      <c r="R172" s="655" t="n"/>
      <c r="S172" s="655" t="n"/>
      <c r="T172" s="655" t="n"/>
      <c r="U172" s="655" t="n"/>
      <c r="V172" s="655" t="n"/>
      <c r="W172" s="655" t="n"/>
      <c r="X172" s="655" t="n"/>
      <c r="Y172" s="655" t="n"/>
      <c r="Z172" s="655" t="n"/>
      <c r="AA172" s="656" t="n"/>
      <c r="AB172" s="401" t="n"/>
      <c r="AC172" s="9" t="n"/>
    </row>
    <row r="173" customFormat="1" s="50">
      <c r="B173" s="187">
        <f>IF(OR($E$48="Persona Física",LEN($E$48)&lt;1,$E$166="No",LEN($E$166)&lt;1),1,IF(LEN(E173)&gt;1,1,0))</f>
        <v/>
      </c>
      <c r="C173" s="190">
        <f>IF(B173=0,"*","")</f>
        <v/>
      </c>
      <c r="D173" s="33" t="inlineStr">
        <is>
          <t>Razón social:</t>
        </is>
      </c>
      <c r="E173" s="517" t="n"/>
      <c r="F173" s="668" t="n"/>
      <c r="G173" s="668" t="n"/>
      <c r="H173" s="668" t="n"/>
      <c r="I173" s="668" t="n"/>
      <c r="J173" s="668" t="n"/>
      <c r="K173" s="668" t="n"/>
      <c r="L173" s="668" t="n"/>
      <c r="M173" s="668" t="n"/>
      <c r="N173" s="668" t="n"/>
      <c r="O173" s="668" t="n"/>
      <c r="P173" s="668" t="n"/>
      <c r="Q173" s="668" t="n"/>
      <c r="R173" s="668" t="n"/>
      <c r="S173" s="668" t="n"/>
      <c r="T173" s="668" t="n"/>
      <c r="U173" s="668" t="n"/>
      <c r="V173" s="668" t="n"/>
      <c r="W173" s="668" t="n"/>
      <c r="X173" s="668" t="n"/>
      <c r="Y173" s="668" t="n"/>
      <c r="Z173" s="668" t="n"/>
      <c r="AA173" s="669" t="n"/>
      <c r="AB173" s="93" t="n"/>
      <c r="AC173" s="49" t="n"/>
    </row>
    <row r="174" customFormat="1" s="50">
      <c r="B174" s="187">
        <f>IF(OR($E$48="Persona Física",LEN($E$48)&lt;1,$E$166="No",LEN($E$166)&lt;1),1,IF(LEN(E174)&gt;1,1,0))</f>
        <v/>
      </c>
      <c r="C174" s="190">
        <f>IF(B174=0,"*","")</f>
        <v/>
      </c>
      <c r="D174" s="241" t="inlineStr">
        <is>
          <t>RFC:</t>
        </is>
      </c>
      <c r="E174" s="497" t="n"/>
      <c r="F174" s="671" t="n"/>
      <c r="G174" s="671" t="n"/>
      <c r="H174" s="671" t="n"/>
      <c r="I174" s="671" t="n"/>
      <c r="J174" s="671" t="n"/>
      <c r="K174" s="671" t="n"/>
      <c r="L174" s="671" t="n"/>
      <c r="M174" s="671" t="n"/>
      <c r="N174" s="671" t="n"/>
      <c r="O174" s="671" t="n"/>
      <c r="P174" s="671" t="n"/>
      <c r="Q174" s="671" t="n"/>
      <c r="R174" s="671" t="n"/>
      <c r="S174" s="671" t="n"/>
      <c r="T174" s="671" t="n"/>
      <c r="U174" s="671" t="n"/>
      <c r="V174" s="671" t="n"/>
      <c r="W174" s="671" t="n"/>
      <c r="X174" s="671" t="n"/>
      <c r="Y174" s="671" t="n"/>
      <c r="Z174" s="671" t="n"/>
      <c r="AA174" s="672" t="n"/>
      <c r="AB174" s="94" t="n"/>
      <c r="AC174" s="49" t="n"/>
    </row>
    <row r="175" customFormat="1" s="50">
      <c r="B175" s="187">
        <f>IF(OR($E$48="Persona Física",LEN($E$48)&lt;1,$E$166="No",LEN($E$166)&lt;1),1,IF(LEN(E175)&gt;1,1,0))</f>
        <v/>
      </c>
      <c r="C175" s="190">
        <f>IF(B175=0,"*","")</f>
        <v/>
      </c>
      <c r="D175" s="241" t="inlineStr">
        <is>
          <t>Calle:</t>
        </is>
      </c>
      <c r="E175" s="497" t="n"/>
      <c r="F175" s="671" t="n"/>
      <c r="G175" s="671" t="n"/>
      <c r="H175" s="671" t="n"/>
      <c r="I175" s="671" t="n"/>
      <c r="J175" s="671" t="n"/>
      <c r="K175" s="671" t="n"/>
      <c r="L175" s="671" t="n"/>
      <c r="M175" s="671" t="n"/>
      <c r="N175" s="671" t="n"/>
      <c r="O175" s="671" t="n"/>
      <c r="P175" s="671" t="n"/>
      <c r="Q175" s="671" t="n"/>
      <c r="R175" s="671" t="n"/>
      <c r="S175" s="671" t="n"/>
      <c r="T175" s="671" t="n"/>
      <c r="U175" s="671" t="n"/>
      <c r="V175" s="671" t="n"/>
      <c r="W175" s="671" t="n"/>
      <c r="X175" s="671" t="n"/>
      <c r="Y175" s="671" t="n"/>
      <c r="Z175" s="671" t="n"/>
      <c r="AA175" s="672" t="n"/>
      <c r="AB175" s="94" t="n"/>
      <c r="AC175" s="49" t="n"/>
    </row>
    <row r="176" customFormat="1" s="50">
      <c r="B176" s="187">
        <f>IF(OR($E$48="Persona Física",LEN($E$48)&lt;1,$E$166="No",LEN($E$166)&lt;1),1,IF(LEN(E176)&gt;1,1,0))</f>
        <v/>
      </c>
      <c r="C176" s="190">
        <f>IF(B176=0,"*","")</f>
        <v/>
      </c>
      <c r="D176" s="241" t="inlineStr">
        <is>
          <t>No. Exterior:</t>
        </is>
      </c>
      <c r="E176" s="497" t="n"/>
      <c r="F176" s="671" t="n"/>
      <c r="G176" s="671" t="n"/>
      <c r="H176" s="671" t="n"/>
      <c r="I176" s="671" t="n"/>
      <c r="J176" s="671" t="n"/>
      <c r="K176" s="671" t="n"/>
      <c r="L176" s="671" t="n"/>
      <c r="M176" s="671" t="n"/>
      <c r="N176" s="671" t="n"/>
      <c r="O176" s="671" t="n"/>
      <c r="P176" s="671" t="n"/>
      <c r="Q176" s="671" t="n"/>
      <c r="R176" s="671" t="n"/>
      <c r="S176" s="671" t="n"/>
      <c r="T176" s="671" t="n"/>
      <c r="U176" s="671" t="n"/>
      <c r="V176" s="671" t="n"/>
      <c r="W176" s="671" t="n"/>
      <c r="X176" s="671" t="n"/>
      <c r="Y176" s="671" t="n"/>
      <c r="Z176" s="671" t="n"/>
      <c r="AA176" s="672" t="n"/>
      <c r="AB176" s="94" t="n"/>
      <c r="AC176" s="49" t="n"/>
    </row>
    <row r="177" customFormat="1" s="50">
      <c r="B177" s="187">
        <f>IF(OR($E$48="Persona Física",LEN($E$48)&lt;1,$E$166="No",LEN($E$166)&lt;1),1,IF(LEN(E177)&gt;1,1,0))</f>
        <v/>
      </c>
      <c r="C177" s="190">
        <f>IF(B177=0,"*","")</f>
        <v/>
      </c>
      <c r="D177" s="241" t="inlineStr">
        <is>
          <t>No. Interior:</t>
        </is>
      </c>
      <c r="E177" s="497" t="n"/>
      <c r="F177" s="671" t="n"/>
      <c r="G177" s="671" t="n"/>
      <c r="H177" s="671" t="n"/>
      <c r="I177" s="671" t="n"/>
      <c r="J177" s="671" t="n"/>
      <c r="K177" s="671" t="n"/>
      <c r="L177" s="671" t="n"/>
      <c r="M177" s="671" t="n"/>
      <c r="N177" s="671" t="n"/>
      <c r="O177" s="671" t="n"/>
      <c r="P177" s="671" t="n"/>
      <c r="Q177" s="671" t="n"/>
      <c r="R177" s="671" t="n"/>
      <c r="S177" s="671" t="n"/>
      <c r="T177" s="671" t="n"/>
      <c r="U177" s="671" t="n"/>
      <c r="V177" s="671" t="n"/>
      <c r="W177" s="671" t="n"/>
      <c r="X177" s="671" t="n"/>
      <c r="Y177" s="671" t="n"/>
      <c r="Z177" s="671" t="n"/>
      <c r="AA177" s="672" t="n"/>
      <c r="AB177" s="94" t="n"/>
      <c r="AC177" s="49" t="n"/>
    </row>
    <row r="178" customFormat="1" s="50">
      <c r="B178" s="187">
        <f>IF(OR($E$48="Persona Física",LEN($E$48)&lt;1,$E$166="No",LEN($E$166)&lt;1),1,IF(LEN(E178)&gt;1,1,0))</f>
        <v/>
      </c>
      <c r="C178" s="190">
        <f>IF(B178=0,"*","")</f>
        <v/>
      </c>
      <c r="D178" s="241" t="inlineStr">
        <is>
          <t>Colonia:</t>
        </is>
      </c>
      <c r="E178" s="497" t="n"/>
      <c r="F178" s="671" t="n"/>
      <c r="G178" s="671" t="n"/>
      <c r="H178" s="671" t="n"/>
      <c r="I178" s="671" t="n"/>
      <c r="J178" s="671" t="n"/>
      <c r="K178" s="671" t="n"/>
      <c r="L178" s="671" t="n"/>
      <c r="M178" s="671" t="n"/>
      <c r="N178" s="671" t="n"/>
      <c r="O178" s="671" t="n"/>
      <c r="P178" s="671" t="n"/>
      <c r="Q178" s="671" t="n"/>
      <c r="R178" s="671" t="n"/>
      <c r="S178" s="671" t="n"/>
      <c r="T178" s="671" t="n"/>
      <c r="U178" s="671" t="n"/>
      <c r="V178" s="671" t="n"/>
      <c r="W178" s="671" t="n"/>
      <c r="X178" s="671" t="n"/>
      <c r="Y178" s="671" t="n"/>
      <c r="Z178" s="671" t="n"/>
      <c r="AA178" s="672" t="n"/>
      <c r="AB178" s="94" t="n"/>
      <c r="AC178" s="49" t="n"/>
    </row>
    <row r="179" customFormat="1" s="50">
      <c r="B179" s="187">
        <f>IF(OR($E$48="Persona Física",LEN($E$48)&lt;1,$E$166="No",LEN($E$166)&lt;1),1,IF(LEN(E179)&gt;1,1,0))</f>
        <v/>
      </c>
      <c r="C179" s="190">
        <f>IF(B179=0,"*","")</f>
        <v/>
      </c>
      <c r="D179" s="241" t="inlineStr">
        <is>
          <t>Estado:</t>
        </is>
      </c>
      <c r="E179" s="497" t="n"/>
      <c r="F179" s="671" t="n"/>
      <c r="G179" s="671" t="n"/>
      <c r="H179" s="671" t="n"/>
      <c r="I179" s="671" t="n"/>
      <c r="J179" s="671" t="n"/>
      <c r="K179" s="671" t="n"/>
      <c r="L179" s="671" t="n"/>
      <c r="M179" s="671" t="n"/>
      <c r="N179" s="671" t="n"/>
      <c r="O179" s="671" t="n"/>
      <c r="P179" s="671" t="n"/>
      <c r="Q179" s="671" t="n"/>
      <c r="R179" s="671" t="n"/>
      <c r="S179" s="671" t="n"/>
      <c r="T179" s="671" t="n"/>
      <c r="U179" s="671" t="n"/>
      <c r="V179" s="671" t="n"/>
      <c r="W179" s="671" t="n"/>
      <c r="X179" s="671" t="n"/>
      <c r="Y179" s="671" t="n"/>
      <c r="Z179" s="671" t="n"/>
      <c r="AA179" s="672" t="n"/>
      <c r="AB179" s="94" t="n"/>
      <c r="AC179" s="49" t="n"/>
    </row>
    <row r="180" customFormat="1" s="50">
      <c r="B180" s="187">
        <f>IF(OR($E$48="Persona Física",LEN($E$48)&lt;1,$E$166="No",LEN($E$166)&lt;1),1,IF(LEN(E180)&gt;1,1,0))</f>
        <v/>
      </c>
      <c r="C180" s="190">
        <f>IF(B180=0,"*","")</f>
        <v/>
      </c>
      <c r="D180" s="241" t="inlineStr">
        <is>
          <t>Código Postal:</t>
        </is>
      </c>
      <c r="E180" s="497" t="n"/>
      <c r="F180" s="671" t="n"/>
      <c r="G180" s="671" t="n"/>
      <c r="H180" s="671" t="n"/>
      <c r="I180" s="671" t="n"/>
      <c r="J180" s="671" t="n"/>
      <c r="K180" s="671" t="n"/>
      <c r="L180" s="671" t="n"/>
      <c r="M180" s="671" t="n"/>
      <c r="N180" s="671" t="n"/>
      <c r="O180" s="671" t="n"/>
      <c r="P180" s="671" t="n"/>
      <c r="Q180" s="671" t="n"/>
      <c r="R180" s="671" t="n"/>
      <c r="S180" s="671" t="n"/>
      <c r="T180" s="671" t="n"/>
      <c r="U180" s="671" t="n"/>
      <c r="V180" s="671" t="n"/>
      <c r="W180" s="671" t="n"/>
      <c r="X180" s="671" t="n"/>
      <c r="Y180" s="671" t="n"/>
      <c r="Z180" s="671" t="n"/>
      <c r="AA180" s="672" t="n"/>
      <c r="AB180" s="94" t="n"/>
      <c r="AC180" s="49" t="n"/>
    </row>
    <row r="181" customFormat="1" s="50">
      <c r="B181" s="187">
        <f>IF(OR($E$48="Persona Física",LEN($E$48)&lt;1,$E$166="No",LEN($E$166)&lt;1),1,IF(LEN(E181)&gt;1,1,0))</f>
        <v/>
      </c>
      <c r="C181" s="190">
        <f>IF(B181=0,"*","")</f>
        <v/>
      </c>
      <c r="D181" s="241" t="inlineStr">
        <is>
          <t>Ciudad:</t>
        </is>
      </c>
      <c r="E181" s="497" t="n"/>
      <c r="F181" s="671" t="n"/>
      <c r="G181" s="671" t="n"/>
      <c r="H181" s="671" t="n"/>
      <c r="I181" s="671" t="n"/>
      <c r="J181" s="671" t="n"/>
      <c r="K181" s="671" t="n"/>
      <c r="L181" s="671" t="n"/>
      <c r="M181" s="671" t="n"/>
      <c r="N181" s="671" t="n"/>
      <c r="O181" s="671" t="n"/>
      <c r="P181" s="671" t="n"/>
      <c r="Q181" s="671" t="n"/>
      <c r="R181" s="671" t="n"/>
      <c r="S181" s="671" t="n"/>
      <c r="T181" s="671" t="n"/>
      <c r="U181" s="671" t="n"/>
      <c r="V181" s="671" t="n"/>
      <c r="W181" s="671" t="n"/>
      <c r="X181" s="671" t="n"/>
      <c r="Y181" s="671" t="n"/>
      <c r="Z181" s="671" t="n"/>
      <c r="AA181" s="672" t="n"/>
      <c r="AB181" s="94" t="n"/>
      <c r="AC181" s="49" t="n"/>
    </row>
    <row r="182" customFormat="1" s="50">
      <c r="B182" s="187">
        <f>IF(OR($E$48="Persona Física",LEN($E$48)&lt;1,$E$166="No",LEN($E$166)&lt;1),1,IF(LEN(E182)&gt;1,1,0))</f>
        <v/>
      </c>
      <c r="C182" s="190">
        <f>IF(B182=0,"*","")</f>
        <v/>
      </c>
      <c r="D182" s="241" t="inlineStr">
        <is>
          <t xml:space="preserve">Ramo: </t>
        </is>
      </c>
      <c r="E182" s="497" t="n"/>
      <c r="F182" s="671" t="n"/>
      <c r="G182" s="671" t="n"/>
      <c r="H182" s="671" t="n"/>
      <c r="I182" s="671" t="n"/>
      <c r="J182" s="671" t="n"/>
      <c r="K182" s="671" t="n"/>
      <c r="L182" s="671" t="n"/>
      <c r="M182" s="671" t="n"/>
      <c r="N182" s="671" t="n"/>
      <c r="O182" s="671" t="n"/>
      <c r="P182" s="671" t="n"/>
      <c r="Q182" s="671" t="n"/>
      <c r="R182" s="671" t="n"/>
      <c r="S182" s="671" t="n"/>
      <c r="T182" s="671" t="n"/>
      <c r="U182" s="671" t="n"/>
      <c r="V182" s="671" t="n"/>
      <c r="W182" s="671" t="n"/>
      <c r="X182" s="671" t="n"/>
      <c r="Y182" s="671" t="n"/>
      <c r="Z182" s="671" t="n"/>
      <c r="AA182" s="672" t="n"/>
      <c r="AB182" s="94" t="n"/>
      <c r="AC182" s="49" t="n"/>
    </row>
    <row r="183" customFormat="1" s="50">
      <c r="B183" s="187">
        <f>IF(OR($E$48="Persona Física",LEN($E$48)&lt;1,$E$166="No",LEN($E$166)&lt;1),1,IF(LEN(E183)&gt;1,1,0))</f>
        <v/>
      </c>
      <c r="C183" s="190">
        <f>IF(B183=0,"*","")</f>
        <v/>
      </c>
      <c r="D183" s="241" t="inlineStr">
        <is>
          <t>País:</t>
        </is>
      </c>
      <c r="E183" s="497" t="n"/>
      <c r="F183" s="671" t="n"/>
      <c r="G183" s="671" t="n"/>
      <c r="H183" s="672" t="n"/>
      <c r="I183" s="567" t="n"/>
      <c r="J183" s="674" t="n"/>
      <c r="K183" s="674" t="n"/>
      <c r="L183" s="674" t="n"/>
      <c r="M183" s="674" t="n"/>
      <c r="N183" s="674" t="n"/>
      <c r="O183" s="674" t="n"/>
      <c r="P183" s="674" t="n"/>
      <c r="Q183" s="674" t="n"/>
      <c r="R183" s="674" t="n"/>
      <c r="S183" s="674" t="n"/>
      <c r="T183" s="674" t="n"/>
      <c r="U183" s="674" t="n"/>
      <c r="V183" s="674" t="n"/>
      <c r="W183" s="674" t="n"/>
      <c r="X183" s="674" t="n"/>
      <c r="Y183" s="674" t="n"/>
      <c r="Z183" s="674" t="n"/>
      <c r="AA183" s="726" t="n"/>
      <c r="AB183" s="94" t="n"/>
      <c r="AC183" s="49" t="n"/>
    </row>
    <row r="184" ht="27" customFormat="1" customHeight="1" s="50" thickBot="1">
      <c r="B184" s="187">
        <f>IF(OR($E$48="Persona Física",LEN($E$48)&lt;1,$E$166="No",LEN($E$166)&lt;1),1,IF(LEN(E184)&gt;1,1,0))</f>
        <v/>
      </c>
      <c r="C184" s="190">
        <f>IF(B184=0,"*","")</f>
        <v/>
      </c>
      <c r="D184" s="242" t="inlineStr">
        <is>
          <t>Relación intercompañías:</t>
        </is>
      </c>
      <c r="E184" s="496" t="n"/>
      <c r="F184" s="679" t="n"/>
      <c r="G184" s="679" t="n"/>
      <c r="H184" s="680" t="n"/>
      <c r="I184" s="730" t="n"/>
      <c r="J184" s="668" t="n"/>
      <c r="K184" s="668" t="n"/>
      <c r="L184" s="668" t="n"/>
      <c r="M184" s="668" t="n"/>
      <c r="N184" s="668" t="n"/>
      <c r="O184" s="668" t="n"/>
      <c r="P184" s="668" t="n"/>
      <c r="Q184" s="668" t="n"/>
      <c r="R184" s="668" t="n"/>
      <c r="S184" s="668" t="n"/>
      <c r="T184" s="668" t="n"/>
      <c r="U184" s="668" t="n"/>
      <c r="V184" s="668" t="n"/>
      <c r="W184" s="668" t="n"/>
      <c r="X184" s="668" t="n"/>
      <c r="Y184" s="668" t="n"/>
      <c r="Z184" s="668" t="n"/>
      <c r="AA184" s="669" t="n"/>
      <c r="AB184" s="94" t="n"/>
      <c r="AC184" s="49" t="n"/>
    </row>
    <row r="185" ht="34.5" customFormat="1" customHeight="1" s="50" thickBot="1">
      <c r="B185" s="187" t="n"/>
      <c r="C185" s="190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49" t="n"/>
    </row>
    <row r="186" ht="33.6" customHeight="1" thickBot="1">
      <c r="B186" s="187" t="n"/>
      <c r="D186" s="654">
        <f>IF(OR($E$48="Persona Física",LEN($E$48)&lt;1,$E$167="No",LEN($E$167)&lt;1),"NA","COMPAÑÍAS SUBSIDIARIAS")</f>
        <v/>
      </c>
      <c r="E186" s="655" t="n"/>
      <c r="F186" s="655" t="n"/>
      <c r="G186" s="655" t="n"/>
      <c r="H186" s="655" t="n"/>
      <c r="I186" s="655" t="n"/>
      <c r="J186" s="655" t="n"/>
      <c r="K186" s="655" t="n"/>
      <c r="L186" s="655" t="n"/>
      <c r="M186" s="655" t="n"/>
      <c r="N186" s="655" t="n"/>
      <c r="O186" s="655" t="n"/>
      <c r="P186" s="655" t="n"/>
      <c r="Q186" s="655" t="n"/>
      <c r="R186" s="655" t="n"/>
      <c r="S186" s="655" t="n"/>
      <c r="T186" s="655" t="n"/>
      <c r="U186" s="655" t="n"/>
      <c r="V186" s="655" t="n"/>
      <c r="W186" s="655" t="n"/>
      <c r="X186" s="655" t="n"/>
      <c r="Y186" s="655" t="n"/>
      <c r="Z186" s="655" t="n"/>
      <c r="AA186" s="656" t="n"/>
      <c r="AB186" s="401" t="n"/>
      <c r="AC186" s="9" t="n"/>
    </row>
    <row r="187" ht="29.4" customFormat="1" customHeight="1" s="326">
      <c r="B187" s="187" t="n"/>
      <c r="C187" s="190" t="n"/>
      <c r="D187" s="98" t="n"/>
      <c r="E187" s="240" t="inlineStr">
        <is>
          <t>SUBSIDIARIA 1</t>
        </is>
      </c>
      <c r="F187" s="693" t="n"/>
      <c r="G187" s="693" t="n"/>
      <c r="H187" s="694" t="n"/>
      <c r="I187" s="240" t="inlineStr">
        <is>
          <t>SUBSIDIARIA 2</t>
        </is>
      </c>
      <c r="J187" s="693" t="n"/>
      <c r="K187" s="693" t="n"/>
      <c r="L187" s="694" t="n"/>
      <c r="M187" s="240" t="inlineStr">
        <is>
          <t>SUBSIDIARIA 3</t>
        </is>
      </c>
      <c r="N187" s="693" t="n"/>
      <c r="O187" s="693" t="n"/>
      <c r="P187" s="694" t="n"/>
      <c r="Q187" s="240" t="inlineStr">
        <is>
          <t>SUBSIDIARIA 4</t>
        </is>
      </c>
      <c r="R187" s="693" t="n"/>
      <c r="S187" s="693" t="n"/>
      <c r="T187" s="694" t="n"/>
      <c r="U187" s="240" t="inlineStr">
        <is>
          <t>SUBSIDIARIA 5</t>
        </is>
      </c>
      <c r="V187" s="693" t="n"/>
      <c r="W187" s="693" t="n"/>
      <c r="X187" s="694" t="n"/>
      <c r="Y187" s="240" t="inlineStr">
        <is>
          <t>SUBSIDIARIA 6</t>
        </is>
      </c>
      <c r="Z187" s="693" t="n"/>
      <c r="AA187" s="694" t="n"/>
      <c r="AB187" s="146" t="n"/>
      <c r="AC187" s="51" t="n"/>
    </row>
    <row r="188" ht="27" customHeight="1">
      <c r="B188" s="187">
        <f>IF(OR($E$48="Persona Física",LEN($E$48)&lt;1,$E$167="No",LEN($E$167)&lt;1),1,IF(LEN(E188)&gt;1,1,0))</f>
        <v/>
      </c>
      <c r="C188" s="190">
        <f>IF(B188=0,"*","")</f>
        <v/>
      </c>
      <c r="D188" s="44" t="inlineStr">
        <is>
          <t>Razón social:</t>
        </is>
      </c>
      <c r="E188" s="213" t="n"/>
      <c r="F188" s="671" t="n"/>
      <c r="G188" s="671" t="n"/>
      <c r="H188" s="672" t="n"/>
      <c r="I188" s="213" t="n"/>
      <c r="J188" s="671" t="n"/>
      <c r="K188" s="671" t="n"/>
      <c r="L188" s="672" t="n"/>
      <c r="M188" s="213" t="n"/>
      <c r="N188" s="671" t="n"/>
      <c r="O188" s="671" t="n"/>
      <c r="P188" s="672" t="n"/>
      <c r="Q188" s="213" t="n"/>
      <c r="R188" s="671" t="n"/>
      <c r="S188" s="671" t="n"/>
      <c r="T188" s="672" t="n"/>
      <c r="U188" s="213" t="n"/>
      <c r="V188" s="671" t="n"/>
      <c r="W188" s="671" t="n"/>
      <c r="X188" s="672" t="n"/>
      <c r="Y188" s="213" t="n"/>
      <c r="Z188" s="671" t="n"/>
      <c r="AA188" s="672" t="n"/>
      <c r="AB188" s="432" t="n"/>
      <c r="AC188" s="9" t="n"/>
    </row>
    <row r="189" ht="27" customHeight="1">
      <c r="B189" s="187">
        <f>IF(OR($E$48="Persona Física",LEN($E$48)&lt;1,$E$167="No",LEN($E$167)&lt;1),1,IF(LEN(E189)&gt;1,1,0))</f>
        <v/>
      </c>
      <c r="C189" s="190">
        <f>IF(B189=0,"*","")</f>
        <v/>
      </c>
      <c r="D189" s="44" t="inlineStr">
        <is>
          <t>Porcentaje accionario que se posee:</t>
        </is>
      </c>
      <c r="E189" s="483" t="n"/>
      <c r="F189" s="671" t="n"/>
      <c r="G189" s="671" t="n"/>
      <c r="H189" s="672" t="n"/>
      <c r="I189" s="483" t="n"/>
      <c r="J189" s="671" t="n"/>
      <c r="K189" s="671" t="n"/>
      <c r="L189" s="672" t="n"/>
      <c r="M189" s="483" t="n"/>
      <c r="N189" s="671" t="n"/>
      <c r="O189" s="671" t="n"/>
      <c r="P189" s="672" t="n"/>
      <c r="Q189" s="483" t="n"/>
      <c r="R189" s="671" t="n"/>
      <c r="S189" s="671" t="n"/>
      <c r="T189" s="672" t="n"/>
      <c r="U189" s="483" t="n"/>
      <c r="V189" s="671" t="n"/>
      <c r="W189" s="671" t="n"/>
      <c r="X189" s="672" t="n"/>
      <c r="Y189" s="483" t="n"/>
      <c r="Z189" s="671" t="n"/>
      <c r="AA189" s="672" t="n"/>
      <c r="AB189" s="432" t="n"/>
      <c r="AC189" s="9" t="n"/>
    </row>
    <row r="190">
      <c r="B190" s="187">
        <f>IF(OR($E$48="Persona Física",LEN($E$48)&lt;1,$E$167="No",LEN($E$167)&lt;1),1,IF(LEN(E190)&gt;1,1,0))</f>
        <v/>
      </c>
      <c r="C190" s="190">
        <f>IF(B190=0,"*","")</f>
        <v/>
      </c>
      <c r="D190" s="44" t="inlineStr">
        <is>
          <t>RFC:</t>
        </is>
      </c>
      <c r="E190" s="213" t="n"/>
      <c r="F190" s="671" t="n"/>
      <c r="G190" s="671" t="n"/>
      <c r="H190" s="672" t="n"/>
      <c r="I190" s="213" t="n"/>
      <c r="J190" s="671" t="n"/>
      <c r="K190" s="671" t="n"/>
      <c r="L190" s="672" t="n"/>
      <c r="M190" s="213" t="n"/>
      <c r="N190" s="671" t="n"/>
      <c r="O190" s="671" t="n"/>
      <c r="P190" s="672" t="n"/>
      <c r="Q190" s="213" t="n"/>
      <c r="R190" s="671" t="n"/>
      <c r="S190" s="671" t="n"/>
      <c r="T190" s="672" t="n"/>
      <c r="U190" s="213" t="n"/>
      <c r="V190" s="671" t="n"/>
      <c r="W190" s="671" t="n"/>
      <c r="X190" s="672" t="n"/>
      <c r="Y190" s="213" t="n"/>
      <c r="Z190" s="671" t="n"/>
      <c r="AA190" s="672" t="n"/>
      <c r="AB190" s="432" t="n"/>
      <c r="AC190" s="9" t="n"/>
    </row>
    <row r="191">
      <c r="B191" s="187">
        <f>IF(OR($E$48="Persona Física",LEN($E$48)&lt;1,$E$167="No",LEN($E$167)&lt;1),1,IF(LEN(E191)&gt;1,1,0))</f>
        <v/>
      </c>
      <c r="C191" s="190">
        <f>IF(B191=0,"*","")</f>
        <v/>
      </c>
      <c r="D191" s="44" t="inlineStr">
        <is>
          <t>Calle:</t>
        </is>
      </c>
      <c r="E191" s="213" t="n"/>
      <c r="F191" s="671" t="n"/>
      <c r="G191" s="671" t="n"/>
      <c r="H191" s="672" t="n"/>
      <c r="I191" s="213" t="n"/>
      <c r="J191" s="671" t="n"/>
      <c r="K191" s="671" t="n"/>
      <c r="L191" s="672" t="n"/>
      <c r="M191" s="213" t="n"/>
      <c r="N191" s="671" t="n"/>
      <c r="O191" s="671" t="n"/>
      <c r="P191" s="672" t="n"/>
      <c r="Q191" s="213" t="n"/>
      <c r="R191" s="671" t="n"/>
      <c r="S191" s="671" t="n"/>
      <c r="T191" s="672" t="n"/>
      <c r="U191" s="213" t="n"/>
      <c r="V191" s="671" t="n"/>
      <c r="W191" s="671" t="n"/>
      <c r="X191" s="672" t="n"/>
      <c r="Y191" s="213" t="n"/>
      <c r="Z191" s="671" t="n"/>
      <c r="AA191" s="672" t="n"/>
      <c r="AB191" s="432" t="n"/>
      <c r="AC191" s="9" t="n"/>
    </row>
    <row r="192">
      <c r="B192" s="187">
        <f>IF(OR($E$48="Persona Física",LEN($E$48)&lt;1,$E$167="No",LEN($E$167)&lt;1),1,IF(LEN(E192)&gt;1,1,0))</f>
        <v/>
      </c>
      <c r="C192" s="190">
        <f>IF(B192=0,"*","")</f>
        <v/>
      </c>
      <c r="D192" s="44" t="inlineStr">
        <is>
          <t>No. exterior:</t>
        </is>
      </c>
      <c r="E192" s="213" t="n"/>
      <c r="F192" s="671" t="n"/>
      <c r="G192" s="671" t="n"/>
      <c r="H192" s="672" t="n"/>
      <c r="I192" s="213" t="n"/>
      <c r="J192" s="671" t="n"/>
      <c r="K192" s="671" t="n"/>
      <c r="L192" s="672" t="n"/>
      <c r="M192" s="213" t="n"/>
      <c r="N192" s="671" t="n"/>
      <c r="O192" s="671" t="n"/>
      <c r="P192" s="672" t="n"/>
      <c r="Q192" s="213" t="n"/>
      <c r="R192" s="671" t="n"/>
      <c r="S192" s="671" t="n"/>
      <c r="T192" s="672" t="n"/>
      <c r="U192" s="213" t="n"/>
      <c r="V192" s="671" t="n"/>
      <c r="W192" s="671" t="n"/>
      <c r="X192" s="672" t="n"/>
      <c r="Y192" s="213" t="n"/>
      <c r="Z192" s="671" t="n"/>
      <c r="AA192" s="672" t="n"/>
      <c r="AB192" s="432" t="n"/>
      <c r="AC192" s="9" t="n"/>
    </row>
    <row r="193">
      <c r="B193" s="187">
        <f>IF(OR($E$48="Persona Física",LEN($E$48)&lt;1,$E$167="No",LEN($E$167)&lt;1),1,IF(LEN(E193)&gt;1,1,0))</f>
        <v/>
      </c>
      <c r="C193" s="190">
        <f>IF(B193=0,"*","")</f>
        <v/>
      </c>
      <c r="D193" s="44" t="inlineStr">
        <is>
          <t>No. interior:</t>
        </is>
      </c>
      <c r="E193" s="213" t="n"/>
      <c r="F193" s="671" t="n"/>
      <c r="G193" s="671" t="n"/>
      <c r="H193" s="672" t="n"/>
      <c r="I193" s="213" t="n"/>
      <c r="J193" s="671" t="n"/>
      <c r="K193" s="671" t="n"/>
      <c r="L193" s="672" t="n"/>
      <c r="M193" s="213" t="n"/>
      <c r="N193" s="671" t="n"/>
      <c r="O193" s="671" t="n"/>
      <c r="P193" s="672" t="n"/>
      <c r="Q193" s="213" t="n"/>
      <c r="R193" s="671" t="n"/>
      <c r="S193" s="671" t="n"/>
      <c r="T193" s="672" t="n"/>
      <c r="U193" s="213" t="n"/>
      <c r="V193" s="671" t="n"/>
      <c r="W193" s="671" t="n"/>
      <c r="X193" s="672" t="n"/>
      <c r="Y193" s="213" t="n"/>
      <c r="Z193" s="671" t="n"/>
      <c r="AA193" s="672" t="n"/>
      <c r="AB193" s="432" t="n"/>
      <c r="AC193" s="9" t="n"/>
    </row>
    <row r="194">
      <c r="B194" s="187">
        <f>IF(OR($E$48="Persona Física",LEN($E$48)&lt;1,$E$167="No",LEN($E$167)&lt;1),1,IF(LEN(E194)&gt;1,1,0))</f>
        <v/>
      </c>
      <c r="C194" s="190">
        <f>IF(B194=0,"*","")</f>
        <v/>
      </c>
      <c r="D194" s="44" t="inlineStr">
        <is>
          <t>Colonia:</t>
        </is>
      </c>
      <c r="E194" s="213" t="n"/>
      <c r="F194" s="671" t="n"/>
      <c r="G194" s="671" t="n"/>
      <c r="H194" s="672" t="n"/>
      <c r="I194" s="213" t="n"/>
      <c r="J194" s="671" t="n"/>
      <c r="K194" s="671" t="n"/>
      <c r="L194" s="672" t="n"/>
      <c r="M194" s="213" t="n"/>
      <c r="N194" s="671" t="n"/>
      <c r="O194" s="671" t="n"/>
      <c r="P194" s="672" t="n"/>
      <c r="Q194" s="213" t="n"/>
      <c r="R194" s="671" t="n"/>
      <c r="S194" s="671" t="n"/>
      <c r="T194" s="672" t="n"/>
      <c r="U194" s="213" t="n"/>
      <c r="V194" s="671" t="n"/>
      <c r="W194" s="671" t="n"/>
      <c r="X194" s="672" t="n"/>
      <c r="Y194" s="213" t="n"/>
      <c r="Z194" s="671" t="n"/>
      <c r="AA194" s="672" t="n"/>
      <c r="AB194" s="432" t="n"/>
      <c r="AC194" s="9" t="n"/>
    </row>
    <row r="195">
      <c r="B195" s="187">
        <f>IF(OR($E$48="Persona Física",LEN($E$48)&lt;1,$E$167="No",LEN($E$167)&lt;1),1,IF(LEN(E195)&gt;1,1,0))</f>
        <v/>
      </c>
      <c r="C195" s="190">
        <f>IF(B195=0,"*","")</f>
        <v/>
      </c>
      <c r="D195" s="44" t="inlineStr">
        <is>
          <t>C.P.:</t>
        </is>
      </c>
      <c r="E195" s="213" t="n"/>
      <c r="F195" s="671" t="n"/>
      <c r="G195" s="671" t="n"/>
      <c r="H195" s="672" t="n"/>
      <c r="I195" s="213" t="n"/>
      <c r="J195" s="671" t="n"/>
      <c r="K195" s="671" t="n"/>
      <c r="L195" s="672" t="n"/>
      <c r="M195" s="213" t="n"/>
      <c r="N195" s="671" t="n"/>
      <c r="O195" s="671" t="n"/>
      <c r="P195" s="672" t="n"/>
      <c r="Q195" s="213" t="n"/>
      <c r="R195" s="671" t="n"/>
      <c r="S195" s="671" t="n"/>
      <c r="T195" s="672" t="n"/>
      <c r="U195" s="213" t="n"/>
      <c r="V195" s="671" t="n"/>
      <c r="W195" s="671" t="n"/>
      <c r="X195" s="672" t="n"/>
      <c r="Y195" s="213" t="n"/>
      <c r="Z195" s="671" t="n"/>
      <c r="AA195" s="672" t="n"/>
      <c r="AB195" s="432" t="n"/>
      <c r="AC195" s="9" t="n"/>
    </row>
    <row r="196">
      <c r="B196" s="187">
        <f>IF(OR($E$48="Persona Física",LEN($E$48)&lt;1,$E$167="No",LEN($E$167)&lt;1),1,IF(LEN(E196)&gt;1,1,0))</f>
        <v/>
      </c>
      <c r="C196" s="190">
        <f>IF(B196=0,"*","")</f>
        <v/>
      </c>
      <c r="D196" s="44" t="inlineStr">
        <is>
          <t>Del. o municipio:</t>
        </is>
      </c>
      <c r="E196" s="213" t="n"/>
      <c r="F196" s="671" t="n"/>
      <c r="G196" s="671" t="n"/>
      <c r="H196" s="672" t="n"/>
      <c r="I196" s="213" t="n"/>
      <c r="J196" s="671" t="n"/>
      <c r="K196" s="671" t="n"/>
      <c r="L196" s="672" t="n"/>
      <c r="M196" s="213" t="n"/>
      <c r="N196" s="671" t="n"/>
      <c r="O196" s="671" t="n"/>
      <c r="P196" s="672" t="n"/>
      <c r="Q196" s="213" t="n"/>
      <c r="R196" s="671" t="n"/>
      <c r="S196" s="671" t="n"/>
      <c r="T196" s="672" t="n"/>
      <c r="U196" s="213" t="n"/>
      <c r="V196" s="671" t="n"/>
      <c r="W196" s="671" t="n"/>
      <c r="X196" s="672" t="n"/>
      <c r="Y196" s="213" t="n"/>
      <c r="Z196" s="671" t="n"/>
      <c r="AA196" s="672" t="n"/>
      <c r="AB196" s="432" t="n"/>
      <c r="AC196" s="9" t="n"/>
    </row>
    <row r="197">
      <c r="B197" s="187">
        <f>IF(OR($E$48="Persona Física",LEN($E$48)&lt;1,$E$167="No",LEN($E$167)&lt;1),1,IF(LEN(E197)&gt;1,1,0))</f>
        <v/>
      </c>
      <c r="C197" s="190">
        <f>IF(B197=0,"*","")</f>
        <v/>
      </c>
      <c r="D197" s="44" t="inlineStr">
        <is>
          <t>Ciudad:</t>
        </is>
      </c>
      <c r="E197" s="213" t="n"/>
      <c r="F197" s="671" t="n"/>
      <c r="G197" s="671" t="n"/>
      <c r="H197" s="672" t="n"/>
      <c r="I197" s="213" t="n"/>
      <c r="J197" s="671" t="n"/>
      <c r="K197" s="671" t="n"/>
      <c r="L197" s="672" t="n"/>
      <c r="M197" s="213" t="n"/>
      <c r="N197" s="671" t="n"/>
      <c r="O197" s="671" t="n"/>
      <c r="P197" s="672" t="n"/>
      <c r="Q197" s="213" t="n"/>
      <c r="R197" s="671" t="n"/>
      <c r="S197" s="671" t="n"/>
      <c r="T197" s="672" t="n"/>
      <c r="U197" s="213" t="n"/>
      <c r="V197" s="671" t="n"/>
      <c r="W197" s="671" t="n"/>
      <c r="X197" s="672" t="n"/>
      <c r="Y197" s="213" t="n"/>
      <c r="Z197" s="671" t="n"/>
      <c r="AA197" s="672" t="n"/>
      <c r="AB197" s="432" t="n"/>
      <c r="AC197" s="9" t="n"/>
    </row>
    <row r="198">
      <c r="B198" s="187">
        <f>IF(OR($E$48="Persona Física",LEN($E$48)&lt;1,$E$167="No",LEN($E$167)&lt;1),1,IF(LEN(E198)&gt;1,1,0))</f>
        <v/>
      </c>
      <c r="C198" s="190">
        <f>IF(B198=0,"*","")</f>
        <v/>
      </c>
      <c r="D198" s="44" t="inlineStr">
        <is>
          <t>Edo.:</t>
        </is>
      </c>
      <c r="E198" s="213" t="n"/>
      <c r="F198" s="671" t="n"/>
      <c r="G198" s="671" t="n"/>
      <c r="H198" s="672" t="n"/>
      <c r="I198" s="213" t="n"/>
      <c r="J198" s="671" t="n"/>
      <c r="K198" s="671" t="n"/>
      <c r="L198" s="672" t="n"/>
      <c r="M198" s="213" t="n"/>
      <c r="N198" s="671" t="n"/>
      <c r="O198" s="671" t="n"/>
      <c r="P198" s="672" t="n"/>
      <c r="Q198" s="213" t="n"/>
      <c r="R198" s="671" t="n"/>
      <c r="S198" s="671" t="n"/>
      <c r="T198" s="672" t="n"/>
      <c r="U198" s="213" t="n"/>
      <c r="V198" s="671" t="n"/>
      <c r="W198" s="671" t="n"/>
      <c r="X198" s="672" t="n"/>
      <c r="Y198" s="213" t="n"/>
      <c r="Z198" s="671" t="n"/>
      <c r="AA198" s="672" t="n"/>
      <c r="AB198" s="432" t="n"/>
      <c r="AC198" s="9" t="n"/>
    </row>
    <row r="199">
      <c r="B199" s="187">
        <f>IF(OR($E$48="Persona Física",LEN($E$48)&lt;1,$E$167="No",LEN($E$167)&lt;1),1,IF(LEN(E199)&gt;1,1,0))</f>
        <v/>
      </c>
      <c r="C199" s="190">
        <f>IF(B199=0,"*","")</f>
        <v/>
      </c>
      <c r="D199" s="44" t="inlineStr">
        <is>
          <t xml:space="preserve">Pais: </t>
        </is>
      </c>
      <c r="E199" s="213" t="n"/>
      <c r="F199" s="671" t="n"/>
      <c r="G199" s="671" t="n"/>
      <c r="H199" s="672" t="n"/>
      <c r="I199" s="213" t="n"/>
      <c r="J199" s="671" t="n"/>
      <c r="K199" s="671" t="n"/>
      <c r="L199" s="672" t="n"/>
      <c r="M199" s="213" t="n"/>
      <c r="N199" s="671" t="n"/>
      <c r="O199" s="671" t="n"/>
      <c r="P199" s="672" t="n"/>
      <c r="Q199" s="213" t="n"/>
      <c r="R199" s="671" t="n"/>
      <c r="S199" s="671" t="n"/>
      <c r="T199" s="672" t="n"/>
      <c r="U199" s="213" t="n"/>
      <c r="V199" s="671" t="n"/>
      <c r="W199" s="671" t="n"/>
      <c r="X199" s="672" t="n"/>
      <c r="Y199" s="213" t="n"/>
      <c r="Z199" s="671" t="n"/>
      <c r="AA199" s="672" t="n"/>
      <c r="AB199" s="432" t="n"/>
      <c r="AC199" s="9" t="n"/>
    </row>
    <row r="200">
      <c r="B200" s="187">
        <f>IF(OR($E$48="Persona Física",LEN($E$48)&lt;1,$E$167="No",LEN($E$167)&lt;1),1,IF(LEN(E200)&gt;1,1,0))</f>
        <v/>
      </c>
      <c r="C200" s="190">
        <f>IF(B200=0,"*","")</f>
        <v/>
      </c>
      <c r="D200" s="44" t="inlineStr">
        <is>
          <t>Fundada en: (año)</t>
        </is>
      </c>
      <c r="E200" s="213" t="n"/>
      <c r="F200" s="671" t="n"/>
      <c r="G200" s="671" t="n"/>
      <c r="H200" s="672" t="n"/>
      <c r="I200" s="213" t="n"/>
      <c r="J200" s="671" t="n"/>
      <c r="K200" s="671" t="n"/>
      <c r="L200" s="672" t="n"/>
      <c r="M200" s="213" t="n"/>
      <c r="N200" s="671" t="n"/>
      <c r="O200" s="671" t="n"/>
      <c r="P200" s="672" t="n"/>
      <c r="Q200" s="213" t="n"/>
      <c r="R200" s="671" t="n"/>
      <c r="S200" s="671" t="n"/>
      <c r="T200" s="672" t="n"/>
      <c r="U200" s="213" t="n"/>
      <c r="V200" s="671" t="n"/>
      <c r="W200" s="671" t="n"/>
      <c r="X200" s="672" t="n"/>
      <c r="Y200" s="213" t="n"/>
      <c r="Z200" s="671" t="n"/>
      <c r="AA200" s="672" t="n"/>
      <c r="AB200" s="432" t="n"/>
      <c r="AC200" s="9" t="n"/>
    </row>
    <row r="201">
      <c r="B201" s="187">
        <f>IF(OR($E$48="Persona Física",LEN($E$48)&lt;1,$E$167="No",LEN($E$167)&lt;1),1,IF(LEN(E201)&gt;1,1,0))</f>
        <v/>
      </c>
      <c r="C201" s="190">
        <f>IF(B201=0,"*","")</f>
        <v/>
      </c>
      <c r="D201" s="44" t="inlineStr">
        <is>
          <t xml:space="preserve">Ramo: </t>
        </is>
      </c>
      <c r="E201" s="213" t="n"/>
      <c r="F201" s="671" t="n"/>
      <c r="G201" s="671" t="n"/>
      <c r="H201" s="672" t="n"/>
      <c r="I201" s="213" t="n"/>
      <c r="J201" s="671" t="n"/>
      <c r="K201" s="671" t="n"/>
      <c r="L201" s="672" t="n"/>
      <c r="M201" s="213" t="n"/>
      <c r="N201" s="671" t="n"/>
      <c r="O201" s="671" t="n"/>
      <c r="P201" s="672" t="n"/>
      <c r="Q201" s="213" t="n"/>
      <c r="R201" s="671" t="n"/>
      <c r="S201" s="671" t="n"/>
      <c r="T201" s="672" t="n"/>
      <c r="U201" s="213" t="n"/>
      <c r="V201" s="671" t="n"/>
      <c r="W201" s="671" t="n"/>
      <c r="X201" s="672" t="n"/>
      <c r="Y201" s="213" t="n"/>
      <c r="Z201" s="671" t="n"/>
      <c r="AA201" s="672" t="n"/>
      <c r="AB201" s="432" t="n"/>
      <c r="AC201" s="9" t="n"/>
    </row>
    <row r="202" ht="27" customHeight="1" thickBot="1">
      <c r="B202" s="187">
        <f>IF(OR($E$48="Persona Física",LEN($E$48)&lt;1,$E$167="No",LEN($E$167)&lt;1),1,IF(LEN(E202)&gt;1,1,0))</f>
        <v/>
      </c>
      <c r="C202" s="190">
        <f>IF(B202=0,"*","")</f>
        <v/>
      </c>
      <c r="D202" s="45" t="inlineStr">
        <is>
          <t>Relación intercompañías:</t>
        </is>
      </c>
      <c r="E202" s="275" t="n"/>
      <c r="F202" s="679" t="n"/>
      <c r="G202" s="679" t="n"/>
      <c r="H202" s="680" t="n"/>
      <c r="I202" s="275" t="n"/>
      <c r="J202" s="679" t="n"/>
      <c r="K202" s="679" t="n"/>
      <c r="L202" s="680" t="n"/>
      <c r="M202" s="275" t="n"/>
      <c r="N202" s="679" t="n"/>
      <c r="O202" s="679" t="n"/>
      <c r="P202" s="680" t="n"/>
      <c r="Q202" s="275" t="n"/>
      <c r="R202" s="679" t="n"/>
      <c r="S202" s="679" t="n"/>
      <c r="T202" s="680" t="n"/>
      <c r="U202" s="275" t="n"/>
      <c r="V202" s="679" t="n"/>
      <c r="W202" s="679" t="n"/>
      <c r="X202" s="680" t="n"/>
      <c r="Y202" s="275" t="n"/>
      <c r="Z202" s="679" t="n"/>
      <c r="AA202" s="680" t="n"/>
      <c r="AB202" s="94" t="n"/>
      <c r="AC202" s="9" t="n"/>
    </row>
    <row r="203" ht="46.5" customHeight="1" thickBot="1">
      <c r="B203" s="187" t="n"/>
      <c r="E203" s="52" t="n"/>
      <c r="F203" s="52" t="n"/>
      <c r="G203" s="52" t="n"/>
      <c r="H203" s="52" t="n"/>
      <c r="I203" s="52" t="n"/>
      <c r="J203" s="52" t="n"/>
      <c r="K203" s="52" t="n"/>
      <c r="L203" s="52" t="n"/>
      <c r="M203" s="52" t="n"/>
      <c r="N203" s="52" t="n"/>
      <c r="O203" s="52" t="n"/>
      <c r="P203" s="52" t="n"/>
      <c r="Q203" s="52" t="n"/>
      <c r="R203" s="52" t="n"/>
      <c r="S203" s="52" t="n"/>
      <c r="T203" s="52" t="n"/>
      <c r="U203" s="52" t="n"/>
      <c r="V203" s="52" t="n"/>
      <c r="W203" s="52" t="n"/>
      <c r="X203" s="52" t="n"/>
      <c r="Y203" s="52" t="n"/>
      <c r="Z203" s="52" t="n"/>
      <c r="AA203" s="52" t="n"/>
      <c r="AB203" s="52" t="n"/>
      <c r="AC203" s="9" t="n"/>
    </row>
    <row r="204" ht="35.1" customHeight="1" thickBot="1">
      <c r="B204" s="187" t="n"/>
      <c r="D204" s="654">
        <f>IF(OR($E$48="Persona Física",LEN($E$48)&lt;1,$E$168="No",LEN($E$168)&lt;1),"NA","COMPAÑÍAS FILIALES")</f>
        <v/>
      </c>
      <c r="E204" s="655" t="n"/>
      <c r="F204" s="655" t="n"/>
      <c r="G204" s="655" t="n"/>
      <c r="H204" s="655" t="n"/>
      <c r="I204" s="655" t="n"/>
      <c r="J204" s="655" t="n"/>
      <c r="K204" s="655" t="n"/>
      <c r="L204" s="655" t="n"/>
      <c r="M204" s="655" t="n"/>
      <c r="N204" s="655" t="n"/>
      <c r="O204" s="655" t="n"/>
      <c r="P204" s="655" t="n"/>
      <c r="Q204" s="655" t="n"/>
      <c r="R204" s="655" t="n"/>
      <c r="S204" s="655" t="n"/>
      <c r="T204" s="655" t="n"/>
      <c r="U204" s="655" t="n"/>
      <c r="V204" s="655" t="n"/>
      <c r="W204" s="655" t="n"/>
      <c r="X204" s="655" t="n"/>
      <c r="Y204" s="655" t="n"/>
      <c r="Z204" s="655" t="n"/>
      <c r="AA204" s="656" t="n"/>
      <c r="AB204" s="401" t="n"/>
      <c r="AC204" s="9" t="n"/>
    </row>
    <row r="205" ht="26.1" customHeight="1">
      <c r="B205" s="187" t="n"/>
      <c r="D205" s="99" t="n"/>
      <c r="E205" s="240" t="inlineStr">
        <is>
          <t>FILIAL 1</t>
        </is>
      </c>
      <c r="F205" s="693" t="n"/>
      <c r="G205" s="693" t="n"/>
      <c r="H205" s="694" t="n"/>
      <c r="I205" s="240" t="inlineStr">
        <is>
          <t>FILIAL 2</t>
        </is>
      </c>
      <c r="J205" s="693" t="n"/>
      <c r="K205" s="693" t="n"/>
      <c r="L205" s="694" t="n"/>
      <c r="M205" s="240" t="inlineStr">
        <is>
          <t>FILIAL 3</t>
        </is>
      </c>
      <c r="N205" s="693" t="n"/>
      <c r="O205" s="693" t="n"/>
      <c r="P205" s="694" t="n"/>
      <c r="Q205" s="240" t="inlineStr">
        <is>
          <t>FILIAL 4</t>
        </is>
      </c>
      <c r="R205" s="693" t="n"/>
      <c r="S205" s="693" t="n"/>
      <c r="T205" s="694" t="n"/>
      <c r="U205" s="240" t="inlineStr">
        <is>
          <t>FILIAL 5</t>
        </is>
      </c>
      <c r="V205" s="693" t="n"/>
      <c r="W205" s="693" t="n"/>
      <c r="X205" s="694" t="n"/>
      <c r="Y205" s="240" t="inlineStr">
        <is>
          <t>FILIAL 6</t>
        </is>
      </c>
      <c r="Z205" s="693" t="n"/>
      <c r="AA205" s="694" t="n"/>
      <c r="AB205" s="146" t="n"/>
      <c r="AC205" s="9" t="n"/>
    </row>
    <row r="206">
      <c r="B206" s="187">
        <f>IF(OR($E$168="No",LEN($E$168)&lt;1),1,IF(LEN(E206)&gt;1,1,0))</f>
        <v/>
      </c>
      <c r="C206" s="190">
        <f>IF(B206=0,"*","")</f>
        <v/>
      </c>
      <c r="D206" s="241" t="inlineStr">
        <is>
          <t>Razón social:</t>
        </is>
      </c>
      <c r="E206" s="214" t="n"/>
      <c r="F206" s="671" t="n"/>
      <c r="G206" s="671" t="n"/>
      <c r="H206" s="672" t="n"/>
      <c r="I206" s="214" t="n"/>
      <c r="J206" s="671" t="n"/>
      <c r="K206" s="671" t="n"/>
      <c r="L206" s="672" t="n"/>
      <c r="M206" s="214" t="n"/>
      <c r="N206" s="671" t="n"/>
      <c r="O206" s="671" t="n"/>
      <c r="P206" s="672" t="n"/>
      <c r="Q206" s="214" t="n"/>
      <c r="R206" s="671" t="n"/>
      <c r="S206" s="671" t="n"/>
      <c r="T206" s="672" t="n"/>
      <c r="U206" s="214" t="n"/>
      <c r="V206" s="671" t="n"/>
      <c r="W206" s="671" t="n"/>
      <c r="X206" s="672" t="n"/>
      <c r="Y206" s="214" t="n"/>
      <c r="Z206" s="671" t="n"/>
      <c r="AA206" s="672" t="n"/>
      <c r="AB206" s="432" t="n"/>
      <c r="AC206" s="9" t="n"/>
    </row>
    <row r="207">
      <c r="B207" s="187">
        <f>IF(OR($E$168="No",LEN($E$168)&lt;1),1,IF(LEN(E207)&gt;1,1,0))</f>
        <v/>
      </c>
      <c r="C207" s="190">
        <f>IF(B207=0,"*","")</f>
        <v/>
      </c>
      <c r="D207" s="241" t="inlineStr">
        <is>
          <t>RFC:</t>
        </is>
      </c>
      <c r="E207" s="214" t="n"/>
      <c r="F207" s="671" t="n"/>
      <c r="G207" s="671" t="n"/>
      <c r="H207" s="672" t="n"/>
      <c r="I207" s="214" t="n"/>
      <c r="J207" s="671" t="n"/>
      <c r="K207" s="671" t="n"/>
      <c r="L207" s="672" t="n"/>
      <c r="M207" s="214" t="n"/>
      <c r="N207" s="671" t="n"/>
      <c r="O207" s="671" t="n"/>
      <c r="P207" s="672" t="n"/>
      <c r="Q207" s="214" t="n"/>
      <c r="R207" s="671" t="n"/>
      <c r="S207" s="671" t="n"/>
      <c r="T207" s="672" t="n"/>
      <c r="U207" s="214" t="n"/>
      <c r="V207" s="671" t="n"/>
      <c r="W207" s="671" t="n"/>
      <c r="X207" s="672" t="n"/>
      <c r="Y207" s="214" t="n"/>
      <c r="Z207" s="671" t="n"/>
      <c r="AA207" s="672" t="n"/>
      <c r="AB207" s="432" t="n"/>
      <c r="AC207" s="9" t="n"/>
    </row>
    <row r="208">
      <c r="B208" s="187">
        <f>IF(OR($E$168="No",LEN($E$168)&lt;1),1,IF(LEN(E208)&gt;1,1,0))</f>
        <v/>
      </c>
      <c r="C208" s="190">
        <f>IF(B208=0,"*","")</f>
        <v/>
      </c>
      <c r="D208" s="241" t="inlineStr">
        <is>
          <t>Calle:</t>
        </is>
      </c>
      <c r="E208" s="214" t="n"/>
      <c r="F208" s="671" t="n"/>
      <c r="G208" s="671" t="n"/>
      <c r="H208" s="672" t="n"/>
      <c r="I208" s="214" t="n"/>
      <c r="J208" s="671" t="n"/>
      <c r="K208" s="671" t="n"/>
      <c r="L208" s="672" t="n"/>
      <c r="M208" s="214" t="n"/>
      <c r="N208" s="671" t="n"/>
      <c r="O208" s="671" t="n"/>
      <c r="P208" s="672" t="n"/>
      <c r="Q208" s="214" t="n"/>
      <c r="R208" s="671" t="n"/>
      <c r="S208" s="671" t="n"/>
      <c r="T208" s="672" t="n"/>
      <c r="U208" s="214" t="n"/>
      <c r="V208" s="671" t="n"/>
      <c r="W208" s="671" t="n"/>
      <c r="X208" s="672" t="n"/>
      <c r="Y208" s="214" t="n"/>
      <c r="Z208" s="671" t="n"/>
      <c r="AA208" s="672" t="n"/>
      <c r="AB208" s="432" t="n"/>
      <c r="AC208" s="9" t="n"/>
    </row>
    <row r="209">
      <c r="B209" s="187">
        <f>IF(OR($E$168="No",LEN($E$168)&lt;1),1,IF(LEN(E209)&gt;1,1,0))</f>
        <v/>
      </c>
      <c r="C209" s="190">
        <f>IF(B209=0,"*","")</f>
        <v/>
      </c>
      <c r="D209" s="241" t="inlineStr">
        <is>
          <t>No. exterior:</t>
        </is>
      </c>
      <c r="E209" s="214" t="n"/>
      <c r="F209" s="671" t="n"/>
      <c r="G209" s="671" t="n"/>
      <c r="H209" s="672" t="n"/>
      <c r="I209" s="214" t="n"/>
      <c r="J209" s="671" t="n"/>
      <c r="K209" s="671" t="n"/>
      <c r="L209" s="672" t="n"/>
      <c r="M209" s="214" t="n"/>
      <c r="N209" s="671" t="n"/>
      <c r="O209" s="671" t="n"/>
      <c r="P209" s="672" t="n"/>
      <c r="Q209" s="214" t="n"/>
      <c r="R209" s="671" t="n"/>
      <c r="S209" s="671" t="n"/>
      <c r="T209" s="672" t="n"/>
      <c r="U209" s="214" t="n"/>
      <c r="V209" s="671" t="n"/>
      <c r="W209" s="671" t="n"/>
      <c r="X209" s="672" t="n"/>
      <c r="Y209" s="214" t="n"/>
      <c r="Z209" s="671" t="n"/>
      <c r="AA209" s="672" t="n"/>
      <c r="AB209" s="432" t="n"/>
      <c r="AC209" s="9" t="n"/>
    </row>
    <row r="210">
      <c r="B210" s="187">
        <f>IF(OR($E$168="No",LEN($E$168)&lt;1),1,IF(LEN(E210)&gt;1,1,0))</f>
        <v/>
      </c>
      <c r="C210" s="190">
        <f>IF(B210=0,"*","")</f>
        <v/>
      </c>
      <c r="D210" s="241" t="inlineStr">
        <is>
          <t>No. interior:</t>
        </is>
      </c>
      <c r="E210" s="214" t="n"/>
      <c r="F210" s="671" t="n"/>
      <c r="G210" s="671" t="n"/>
      <c r="H210" s="672" t="n"/>
      <c r="I210" s="214" t="n"/>
      <c r="J210" s="671" t="n"/>
      <c r="K210" s="671" t="n"/>
      <c r="L210" s="672" t="n"/>
      <c r="M210" s="214" t="n"/>
      <c r="N210" s="671" t="n"/>
      <c r="O210" s="671" t="n"/>
      <c r="P210" s="672" t="n"/>
      <c r="Q210" s="214" t="n"/>
      <c r="R210" s="671" t="n"/>
      <c r="S210" s="671" t="n"/>
      <c r="T210" s="672" t="n"/>
      <c r="U210" s="214" t="n"/>
      <c r="V210" s="671" t="n"/>
      <c r="W210" s="671" t="n"/>
      <c r="X210" s="672" t="n"/>
      <c r="Y210" s="214" t="n"/>
      <c r="Z210" s="671" t="n"/>
      <c r="AA210" s="672" t="n"/>
      <c r="AB210" s="432" t="n"/>
      <c r="AC210" s="9" t="n"/>
    </row>
    <row r="211">
      <c r="B211" s="187">
        <f>IF(OR($E$168="No",LEN($E$168)&lt;1),1,IF(LEN(E211)&gt;1,1,0))</f>
        <v/>
      </c>
      <c r="C211" s="190">
        <f>IF(B211=0,"*","")</f>
        <v/>
      </c>
      <c r="D211" s="241" t="inlineStr">
        <is>
          <t>Colonia:</t>
        </is>
      </c>
      <c r="E211" s="214" t="n"/>
      <c r="F211" s="671" t="n"/>
      <c r="G211" s="671" t="n"/>
      <c r="H211" s="672" t="n"/>
      <c r="I211" s="214" t="n"/>
      <c r="J211" s="671" t="n"/>
      <c r="K211" s="671" t="n"/>
      <c r="L211" s="672" t="n"/>
      <c r="M211" s="214" t="n"/>
      <c r="N211" s="671" t="n"/>
      <c r="O211" s="671" t="n"/>
      <c r="P211" s="672" t="n"/>
      <c r="Q211" s="214" t="n"/>
      <c r="R211" s="671" t="n"/>
      <c r="S211" s="671" t="n"/>
      <c r="T211" s="672" t="n"/>
      <c r="U211" s="214" t="n"/>
      <c r="V211" s="671" t="n"/>
      <c r="W211" s="671" t="n"/>
      <c r="X211" s="672" t="n"/>
      <c r="Y211" s="214" t="n"/>
      <c r="Z211" s="671" t="n"/>
      <c r="AA211" s="672" t="n"/>
      <c r="AB211" s="432" t="n"/>
      <c r="AC211" s="9" t="n"/>
    </row>
    <row r="212">
      <c r="B212" s="187">
        <f>IF(OR($E$168="No",LEN($E$168)&lt;1),1,IF(LEN(E212)&gt;1,1,0))</f>
        <v/>
      </c>
      <c r="C212" s="190">
        <f>IF(B212=0,"*","")</f>
        <v/>
      </c>
      <c r="D212" s="241" t="inlineStr">
        <is>
          <t>C.P.:</t>
        </is>
      </c>
      <c r="E212" s="214" t="n"/>
      <c r="F212" s="671" t="n"/>
      <c r="G212" s="671" t="n"/>
      <c r="H212" s="672" t="n"/>
      <c r="I212" s="214" t="n"/>
      <c r="J212" s="671" t="n"/>
      <c r="K212" s="671" t="n"/>
      <c r="L212" s="672" t="n"/>
      <c r="M212" s="214" t="n"/>
      <c r="N212" s="671" t="n"/>
      <c r="O212" s="671" t="n"/>
      <c r="P212" s="672" t="n"/>
      <c r="Q212" s="214" t="n"/>
      <c r="R212" s="671" t="n"/>
      <c r="S212" s="671" t="n"/>
      <c r="T212" s="672" t="n"/>
      <c r="U212" s="214" t="n"/>
      <c r="V212" s="671" t="n"/>
      <c r="W212" s="671" t="n"/>
      <c r="X212" s="672" t="n"/>
      <c r="Y212" s="214" t="n"/>
      <c r="Z212" s="671" t="n"/>
      <c r="AA212" s="672" t="n"/>
      <c r="AB212" s="432" t="n"/>
      <c r="AC212" s="9" t="n"/>
    </row>
    <row r="213">
      <c r="B213" s="187">
        <f>IF(OR($E$168="No",LEN($E$168)&lt;1),1,IF(LEN(E213)&gt;1,1,0))</f>
        <v/>
      </c>
      <c r="C213" s="190">
        <f>IF(B213=0,"*","")</f>
        <v/>
      </c>
      <c r="D213" s="241" t="inlineStr">
        <is>
          <t>Del. o municipio:</t>
        </is>
      </c>
      <c r="E213" s="214" t="n"/>
      <c r="F213" s="671" t="n"/>
      <c r="G213" s="671" t="n"/>
      <c r="H213" s="672" t="n"/>
      <c r="I213" s="214" t="n"/>
      <c r="J213" s="671" t="n"/>
      <c r="K213" s="671" t="n"/>
      <c r="L213" s="672" t="n"/>
      <c r="M213" s="214" t="n"/>
      <c r="N213" s="671" t="n"/>
      <c r="O213" s="671" t="n"/>
      <c r="P213" s="672" t="n"/>
      <c r="Q213" s="214" t="n"/>
      <c r="R213" s="671" t="n"/>
      <c r="S213" s="671" t="n"/>
      <c r="T213" s="672" t="n"/>
      <c r="U213" s="214" t="n"/>
      <c r="V213" s="671" t="n"/>
      <c r="W213" s="671" t="n"/>
      <c r="X213" s="672" t="n"/>
      <c r="Y213" s="214" t="n"/>
      <c r="Z213" s="671" t="n"/>
      <c r="AA213" s="672" t="n"/>
      <c r="AB213" s="432" t="n"/>
      <c r="AC213" s="9" t="n"/>
    </row>
    <row r="214">
      <c r="B214" s="187">
        <f>IF(OR($E$168="No",LEN($E$168)&lt;1),1,IF(LEN(E214)&gt;1,1,0))</f>
        <v/>
      </c>
      <c r="C214" s="190">
        <f>IF(B214=0,"*","")</f>
        <v/>
      </c>
      <c r="D214" s="241" t="inlineStr">
        <is>
          <t>Ciudad:</t>
        </is>
      </c>
      <c r="E214" s="214" t="n"/>
      <c r="F214" s="671" t="n"/>
      <c r="G214" s="671" t="n"/>
      <c r="H214" s="672" t="n"/>
      <c r="I214" s="214" t="n"/>
      <c r="J214" s="671" t="n"/>
      <c r="K214" s="671" t="n"/>
      <c r="L214" s="672" t="n"/>
      <c r="M214" s="214" t="n"/>
      <c r="N214" s="671" t="n"/>
      <c r="O214" s="671" t="n"/>
      <c r="P214" s="672" t="n"/>
      <c r="Q214" s="214" t="n"/>
      <c r="R214" s="671" t="n"/>
      <c r="S214" s="671" t="n"/>
      <c r="T214" s="672" t="n"/>
      <c r="U214" s="214" t="n"/>
      <c r="V214" s="671" t="n"/>
      <c r="W214" s="671" t="n"/>
      <c r="X214" s="672" t="n"/>
      <c r="Y214" s="214" t="n"/>
      <c r="Z214" s="671" t="n"/>
      <c r="AA214" s="672" t="n"/>
      <c r="AB214" s="432" t="n"/>
      <c r="AC214" s="9" t="n"/>
    </row>
    <row r="215">
      <c r="B215" s="187">
        <f>IF(OR($E$168="No",LEN($E$168)&lt;1),1,IF(LEN(E215)&gt;1,1,0))</f>
        <v/>
      </c>
      <c r="C215" s="190">
        <f>IF(B215=0,"*","")</f>
        <v/>
      </c>
      <c r="D215" s="241" t="inlineStr">
        <is>
          <t>Edo.:</t>
        </is>
      </c>
      <c r="E215" s="214" t="n"/>
      <c r="F215" s="671" t="n"/>
      <c r="G215" s="671" t="n"/>
      <c r="H215" s="672" t="n"/>
      <c r="I215" s="214" t="n"/>
      <c r="J215" s="671" t="n"/>
      <c r="K215" s="671" t="n"/>
      <c r="L215" s="672" t="n"/>
      <c r="M215" s="214" t="n"/>
      <c r="N215" s="671" t="n"/>
      <c r="O215" s="671" t="n"/>
      <c r="P215" s="672" t="n"/>
      <c r="Q215" s="214" t="n"/>
      <c r="R215" s="671" t="n"/>
      <c r="S215" s="671" t="n"/>
      <c r="T215" s="672" t="n"/>
      <c r="U215" s="214" t="n"/>
      <c r="V215" s="671" t="n"/>
      <c r="W215" s="671" t="n"/>
      <c r="X215" s="672" t="n"/>
      <c r="Y215" s="214" t="n"/>
      <c r="Z215" s="671" t="n"/>
      <c r="AA215" s="672" t="n"/>
      <c r="AB215" s="432" t="n"/>
      <c r="AC215" s="9" t="n"/>
    </row>
    <row r="216">
      <c r="B216" s="187">
        <f>IF(OR($E$168="No",LEN($E$168)&lt;1),1,IF(LEN(E216)&gt;1,1,0))</f>
        <v/>
      </c>
      <c r="C216" s="190">
        <f>IF(B216=0,"*","")</f>
        <v/>
      </c>
      <c r="D216" s="241" t="inlineStr">
        <is>
          <t xml:space="preserve">Pais: </t>
        </is>
      </c>
      <c r="E216" s="214" t="n"/>
      <c r="F216" s="671" t="n"/>
      <c r="G216" s="671" t="n"/>
      <c r="H216" s="672" t="n"/>
      <c r="I216" s="214" t="n"/>
      <c r="J216" s="671" t="n"/>
      <c r="K216" s="671" t="n"/>
      <c r="L216" s="672" t="n"/>
      <c r="M216" s="214" t="n"/>
      <c r="N216" s="671" t="n"/>
      <c r="O216" s="671" t="n"/>
      <c r="P216" s="672" t="n"/>
      <c r="Q216" s="214" t="n"/>
      <c r="R216" s="671" t="n"/>
      <c r="S216" s="671" t="n"/>
      <c r="T216" s="672" t="n"/>
      <c r="U216" s="214" t="n"/>
      <c r="V216" s="671" t="n"/>
      <c r="W216" s="671" t="n"/>
      <c r="X216" s="672" t="n"/>
      <c r="Y216" s="214" t="n"/>
      <c r="Z216" s="671" t="n"/>
      <c r="AA216" s="672" t="n"/>
      <c r="AB216" s="432" t="n"/>
      <c r="AC216" s="9" t="n"/>
    </row>
    <row r="217">
      <c r="B217" s="187">
        <f>IF(OR($E$168="No",LEN($E$168)&lt;1),1,IF(LEN(E217)&gt;1,1,0))</f>
        <v/>
      </c>
      <c r="C217" s="190">
        <f>IF(B217=0,"*","")</f>
        <v/>
      </c>
      <c r="D217" s="241" t="inlineStr">
        <is>
          <t>Fundada en: (año)</t>
        </is>
      </c>
      <c r="E217" s="214" t="n"/>
      <c r="F217" s="671" t="n"/>
      <c r="G217" s="671" t="n"/>
      <c r="H217" s="672" t="n"/>
      <c r="I217" s="214" t="n"/>
      <c r="J217" s="671" t="n"/>
      <c r="K217" s="671" t="n"/>
      <c r="L217" s="672" t="n"/>
      <c r="M217" s="214" t="n"/>
      <c r="N217" s="671" t="n"/>
      <c r="O217" s="671" t="n"/>
      <c r="P217" s="672" t="n"/>
      <c r="Q217" s="214" t="n"/>
      <c r="R217" s="671" t="n"/>
      <c r="S217" s="671" t="n"/>
      <c r="T217" s="672" t="n"/>
      <c r="U217" s="214" t="n"/>
      <c r="V217" s="671" t="n"/>
      <c r="W217" s="671" t="n"/>
      <c r="X217" s="672" t="n"/>
      <c r="Y217" s="214" t="n"/>
      <c r="Z217" s="671" t="n"/>
      <c r="AA217" s="672" t="n"/>
      <c r="AB217" s="432" t="n"/>
      <c r="AC217" s="9" t="n"/>
    </row>
    <row r="218">
      <c r="B218" s="187">
        <f>IF(OR($E$168="No",LEN($E$168)&lt;1),1,IF(LEN(E218)&gt;1,1,0))</f>
        <v/>
      </c>
      <c r="C218" s="190">
        <f>IF(B218=0,"*","")</f>
        <v/>
      </c>
      <c r="D218" s="241" t="inlineStr">
        <is>
          <t xml:space="preserve">Ramo: </t>
        </is>
      </c>
      <c r="E218" s="214" t="n"/>
      <c r="F218" s="671" t="n"/>
      <c r="G218" s="671" t="n"/>
      <c r="H218" s="672" t="n"/>
      <c r="I218" s="214" t="n"/>
      <c r="J218" s="671" t="n"/>
      <c r="K218" s="671" t="n"/>
      <c r="L218" s="672" t="n"/>
      <c r="M218" s="214" t="n"/>
      <c r="N218" s="671" t="n"/>
      <c r="O218" s="671" t="n"/>
      <c r="P218" s="672" t="n"/>
      <c r="Q218" s="214" t="n"/>
      <c r="R218" s="671" t="n"/>
      <c r="S218" s="671" t="n"/>
      <c r="T218" s="672" t="n"/>
      <c r="U218" s="214" t="n"/>
      <c r="V218" s="671" t="n"/>
      <c r="W218" s="671" t="n"/>
      <c r="X218" s="672" t="n"/>
      <c r="Y218" s="214" t="n"/>
      <c r="Z218" s="671" t="n"/>
      <c r="AA218" s="672" t="n"/>
      <c r="AB218" s="432" t="n"/>
      <c r="AC218" s="9" t="n"/>
    </row>
    <row r="219" ht="27" customHeight="1" thickBot="1">
      <c r="B219" s="187">
        <f>IF(OR($E$168="No",LEN($E$168)&lt;1),1,IF(LEN(E219)&gt;1,1,0))</f>
        <v/>
      </c>
      <c r="C219" s="190">
        <f>IF(B219=0,"*","")</f>
        <v/>
      </c>
      <c r="D219" s="242" t="inlineStr">
        <is>
          <t>Relación intercompañías:</t>
        </is>
      </c>
      <c r="E219" s="475" t="n"/>
      <c r="F219" s="679" t="n"/>
      <c r="G219" s="679" t="n"/>
      <c r="H219" s="680" t="n"/>
      <c r="I219" s="475" t="n"/>
      <c r="J219" s="679" t="n"/>
      <c r="K219" s="679" t="n"/>
      <c r="L219" s="680" t="n"/>
      <c r="M219" s="475" t="n"/>
      <c r="N219" s="679" t="n"/>
      <c r="O219" s="679" t="n"/>
      <c r="P219" s="680" t="n"/>
      <c r="Q219" s="475" t="n"/>
      <c r="R219" s="679" t="n"/>
      <c r="S219" s="679" t="n"/>
      <c r="T219" s="680" t="n"/>
      <c r="U219" s="475" t="n"/>
      <c r="V219" s="679" t="n"/>
      <c r="W219" s="679" t="n"/>
      <c r="X219" s="680" t="n"/>
      <c r="Y219" s="475" t="n"/>
      <c r="Z219" s="679" t="n"/>
      <c r="AA219" s="680" t="n"/>
      <c r="AB219" s="94" t="n"/>
      <c r="AC219" s="9" t="n"/>
    </row>
    <row r="220" ht="34.5" customHeight="1" thickBot="1">
      <c r="B220" s="187" t="n"/>
      <c r="E220" s="52" t="n"/>
      <c r="F220" s="52" t="n"/>
      <c r="G220" s="52" t="n"/>
      <c r="H220" s="52" t="n"/>
      <c r="I220" s="52" t="n"/>
      <c r="J220" s="52" t="n"/>
      <c r="K220" s="52" t="n"/>
      <c r="L220" s="52" t="n"/>
      <c r="M220" s="52" t="n"/>
      <c r="N220" s="52" t="n"/>
      <c r="O220" s="52" t="n"/>
      <c r="P220" s="52" t="n"/>
      <c r="Q220" s="52" t="n"/>
      <c r="R220" s="52" t="n"/>
      <c r="S220" s="52" t="n"/>
      <c r="T220" s="52" t="n"/>
      <c r="U220" s="52" t="n"/>
      <c r="V220" s="52" t="n"/>
      <c r="W220" s="52" t="n"/>
      <c r="X220" s="52" t="n"/>
      <c r="Y220" s="52" t="n"/>
      <c r="Z220" s="52" t="n"/>
      <c r="AA220" s="52" t="n"/>
      <c r="AB220" s="52" t="n"/>
      <c r="AC220" s="9" t="n"/>
    </row>
    <row r="221" ht="32.4" customHeight="1" thickBot="1">
      <c r="B221" s="187" t="n"/>
      <c r="D221" s="654">
        <f>IF(OR($E$169="No",LEN($E$169)&lt;1),"NA","SUCURSALES")</f>
        <v/>
      </c>
      <c r="E221" s="655" t="n"/>
      <c r="F221" s="655" t="n"/>
      <c r="G221" s="655" t="n"/>
      <c r="H221" s="655" t="n"/>
      <c r="I221" s="655" t="n"/>
      <c r="J221" s="655" t="n"/>
      <c r="K221" s="655" t="n"/>
      <c r="L221" s="655" t="n"/>
      <c r="M221" s="655" t="n"/>
      <c r="N221" s="655" t="n"/>
      <c r="O221" s="655" t="n"/>
      <c r="P221" s="655" t="n"/>
      <c r="Q221" s="655" t="n"/>
      <c r="R221" s="655" t="n"/>
      <c r="S221" s="655" t="n"/>
      <c r="T221" s="655" t="n"/>
      <c r="U221" s="655" t="n"/>
      <c r="V221" s="655" t="n"/>
      <c r="W221" s="655" t="n"/>
      <c r="X221" s="655" t="n"/>
      <c r="Y221" s="655" t="n"/>
      <c r="Z221" s="655" t="n"/>
      <c r="AA221" s="656" t="n"/>
      <c r="AB221" s="401" t="n"/>
      <c r="AC221" s="9" t="n"/>
    </row>
    <row r="222" ht="26.1" customHeight="1">
      <c r="B222" s="187" t="n"/>
      <c r="D222" s="100" t="n"/>
      <c r="E222" s="240" t="inlineStr">
        <is>
          <t>Sucursal 1</t>
        </is>
      </c>
      <c r="F222" s="693" t="n"/>
      <c r="G222" s="693" t="n"/>
      <c r="H222" s="694" t="n"/>
      <c r="I222" s="240" t="inlineStr">
        <is>
          <t>Sucursal 2</t>
        </is>
      </c>
      <c r="J222" s="693" t="n"/>
      <c r="K222" s="693" t="n"/>
      <c r="L222" s="694" t="n"/>
      <c r="M222" s="240" t="inlineStr">
        <is>
          <t>Sucursal 3</t>
        </is>
      </c>
      <c r="N222" s="693" t="n"/>
      <c r="O222" s="693" t="n"/>
      <c r="P222" s="694" t="n"/>
      <c r="Q222" s="240" t="inlineStr">
        <is>
          <t>Sucursal 4</t>
        </is>
      </c>
      <c r="R222" s="693" t="n"/>
      <c r="S222" s="693" t="n"/>
      <c r="T222" s="694" t="n"/>
      <c r="U222" s="240" t="inlineStr">
        <is>
          <t>Sucursal 5</t>
        </is>
      </c>
      <c r="V222" s="693" t="n"/>
      <c r="W222" s="693" t="n"/>
      <c r="X222" s="694" t="n"/>
      <c r="Y222" s="240" t="inlineStr">
        <is>
          <t>Sucursal 6</t>
        </is>
      </c>
      <c r="Z222" s="693" t="n"/>
      <c r="AA222" s="694" t="n"/>
      <c r="AB222" s="146" t="n"/>
      <c r="AC222" s="9" t="n"/>
    </row>
    <row r="223" ht="51.9" customHeight="1">
      <c r="B223" s="187">
        <f>IF(OR($E$169="No",LEN($E$169)&lt;1),1,IF(LEN(E223)&gt;1,1,0))</f>
        <v/>
      </c>
      <c r="C223" s="190">
        <f>IF(B223=0,"*","")</f>
        <v/>
      </c>
      <c r="D223" s="241" t="inlineStr">
        <is>
          <t>Domicilio completo:</t>
        </is>
      </c>
      <c r="E223" s="243" t="n"/>
      <c r="F223" s="671" t="n"/>
      <c r="G223" s="671" t="n"/>
      <c r="H223" s="672" t="n"/>
      <c r="I223" s="276" t="n"/>
      <c r="J223" s="671" t="n"/>
      <c r="K223" s="671" t="n"/>
      <c r="L223" s="672" t="n"/>
      <c r="M223" s="276" t="n"/>
      <c r="N223" s="671" t="n"/>
      <c r="O223" s="671" t="n"/>
      <c r="P223" s="672" t="n"/>
      <c r="Q223" s="276" t="n"/>
      <c r="R223" s="671" t="n"/>
      <c r="S223" s="671" t="n"/>
      <c r="T223" s="672" t="n"/>
      <c r="U223" s="276" t="n"/>
      <c r="V223" s="671" t="n"/>
      <c r="W223" s="671" t="n"/>
      <c r="X223" s="672" t="n"/>
      <c r="Y223" s="276" t="n"/>
      <c r="Z223" s="671" t="n"/>
      <c r="AA223" s="672" t="n"/>
      <c r="AB223" s="147" t="n"/>
      <c r="AC223" s="9" t="n"/>
    </row>
    <row r="224">
      <c r="B224" s="187">
        <f>IF(OR($E$169="No",LEN($E$169)&lt;1),1,IF(LEN(E224)&gt;1,1,0))</f>
        <v/>
      </c>
      <c r="C224" s="190">
        <f>IF(B224=0,"*","")</f>
        <v/>
      </c>
      <c r="D224" s="241" t="inlineStr">
        <is>
          <t xml:space="preserve">Teléfono: </t>
        </is>
      </c>
      <c r="E224" s="214" t="n"/>
      <c r="F224" s="671" t="n"/>
      <c r="G224" s="671" t="n"/>
      <c r="H224" s="672" t="n"/>
      <c r="I224" s="214" t="n"/>
      <c r="J224" s="671" t="n"/>
      <c r="K224" s="671" t="n"/>
      <c r="L224" s="672" t="n"/>
      <c r="M224" s="214" t="n"/>
      <c r="N224" s="671" t="n"/>
      <c r="O224" s="671" t="n"/>
      <c r="P224" s="672" t="n"/>
      <c r="Q224" s="214" t="n"/>
      <c r="R224" s="671" t="n"/>
      <c r="S224" s="671" t="n"/>
      <c r="T224" s="672" t="n"/>
      <c r="U224" s="214" t="n"/>
      <c r="V224" s="671" t="n"/>
      <c r="W224" s="671" t="n"/>
      <c r="X224" s="672" t="n"/>
      <c r="Y224" s="214" t="n"/>
      <c r="Z224" s="671" t="n"/>
      <c r="AA224" s="672" t="n"/>
      <c r="AB224" s="143" t="n"/>
      <c r="AC224" s="9" t="n"/>
    </row>
    <row r="225">
      <c r="B225" s="187">
        <f>IF(OR($E$169="No",LEN($E$169)&lt;1),1,IF(LEN(E225)&gt;1,1,0))</f>
        <v/>
      </c>
      <c r="C225" s="190">
        <f>IF(B225=0,"*","")</f>
        <v/>
      </c>
      <c r="D225" s="241" t="inlineStr">
        <is>
          <t>Administrador responsable:</t>
        </is>
      </c>
      <c r="E225" s="214" t="n"/>
      <c r="F225" s="671" t="n"/>
      <c r="G225" s="671" t="n"/>
      <c r="H225" s="672" t="n"/>
      <c r="I225" s="214" t="n"/>
      <c r="J225" s="671" t="n"/>
      <c r="K225" s="671" t="n"/>
      <c r="L225" s="672" t="n"/>
      <c r="M225" s="214" t="n"/>
      <c r="N225" s="671" t="n"/>
      <c r="O225" s="671" t="n"/>
      <c r="P225" s="672" t="n"/>
      <c r="Q225" s="214" t="n"/>
      <c r="R225" s="671" t="n"/>
      <c r="S225" s="671" t="n"/>
      <c r="T225" s="672" t="n"/>
      <c r="U225" s="214" t="n"/>
      <c r="V225" s="671" t="n"/>
      <c r="W225" s="671" t="n"/>
      <c r="X225" s="672" t="n"/>
      <c r="Y225" s="214" t="n"/>
      <c r="Z225" s="671" t="n"/>
      <c r="AA225" s="672" t="n"/>
      <c r="AB225" s="143" t="n"/>
      <c r="AC225" s="9" t="n"/>
    </row>
    <row r="226" ht="24.9" customHeight="1">
      <c r="B226" s="187">
        <f>IF(OR($E$169="No",LEN($E$169)&lt;1),1,IF(LEN(E226)&gt;1,1,0))</f>
        <v/>
      </c>
      <c r="C226" s="190">
        <f>IF(B226=0,"*","")</f>
        <v/>
      </c>
      <c r="D226" s="241" t="inlineStr">
        <is>
          <t>Tipo de sucursal:</t>
        </is>
      </c>
      <c r="E226" s="213" t="n"/>
      <c r="F226" s="671" t="n"/>
      <c r="G226" s="671" t="n"/>
      <c r="H226" s="672" t="n"/>
      <c r="I226" s="213" t="n"/>
      <c r="J226" s="671" t="n"/>
      <c r="K226" s="671" t="n"/>
      <c r="L226" s="672" t="n"/>
      <c r="M226" s="213" t="n"/>
      <c r="N226" s="671" t="n"/>
      <c r="O226" s="671" t="n"/>
      <c r="P226" s="672" t="n"/>
      <c r="Q226" s="213" t="n"/>
      <c r="R226" s="671" t="n"/>
      <c r="S226" s="671" t="n"/>
      <c r="T226" s="672" t="n"/>
      <c r="U226" s="213" t="n"/>
      <c r="V226" s="671" t="n"/>
      <c r="W226" s="671" t="n"/>
      <c r="X226" s="672" t="n"/>
      <c r="Y226" s="213" t="n"/>
      <c r="Z226" s="671" t="n"/>
      <c r="AA226" s="672" t="n"/>
      <c r="AB226" s="432" t="n"/>
      <c r="AC226" s="9" t="n"/>
    </row>
    <row r="227" ht="27" customHeight="1" thickBot="1">
      <c r="B227" s="187">
        <f>IF(OR($E$169="No",LEN($E$169)&lt;1),1,IF(LEN(E227)&gt;0,1,0))</f>
        <v/>
      </c>
      <c r="C227" s="190">
        <f>IF(B227=0,"*","")</f>
        <v/>
      </c>
      <c r="D227" s="242" t="inlineStr">
        <is>
          <t>Número de empleados:</t>
        </is>
      </c>
      <c r="E227" s="275" t="n"/>
      <c r="F227" s="679" t="n"/>
      <c r="G227" s="679" t="n"/>
      <c r="H227" s="680" t="n"/>
      <c r="I227" s="275" t="n"/>
      <c r="J227" s="679" t="n"/>
      <c r="K227" s="679" t="n"/>
      <c r="L227" s="680" t="n"/>
      <c r="M227" s="275" t="n"/>
      <c r="N227" s="679" t="n"/>
      <c r="O227" s="679" t="n"/>
      <c r="P227" s="680" t="n"/>
      <c r="Q227" s="275" t="n"/>
      <c r="R227" s="679" t="n"/>
      <c r="S227" s="679" t="n"/>
      <c r="T227" s="680" t="n"/>
      <c r="U227" s="275" t="n"/>
      <c r="V227" s="679" t="n"/>
      <c r="W227" s="679" t="n"/>
      <c r="X227" s="680" t="n"/>
      <c r="Y227" s="275" t="n"/>
      <c r="Z227" s="679" t="n"/>
      <c r="AA227" s="680" t="n"/>
      <c r="AB227" s="432" t="n"/>
      <c r="AC227" s="9" t="n"/>
    </row>
    <row r="228" ht="32.4" customHeight="1" thickBot="1">
      <c r="B228" s="187" t="n"/>
      <c r="D228" s="37" t="n"/>
      <c r="E228" s="624" t="n"/>
      <c r="F228" s="624" t="n"/>
      <c r="G228" s="624" t="n"/>
      <c r="H228" s="624" t="n"/>
      <c r="I228" s="624" t="n"/>
      <c r="J228" s="624" t="n"/>
      <c r="K228" s="624" t="n"/>
      <c r="L228" s="624" t="n"/>
      <c r="M228" s="624" t="n"/>
      <c r="N228" s="624" t="n"/>
      <c r="O228" s="624" t="n"/>
      <c r="P228" s="624" t="n"/>
      <c r="Q228" s="624" t="n"/>
      <c r="R228" s="624" t="n"/>
      <c r="S228" s="624" t="n"/>
      <c r="T228" s="624" t="n"/>
      <c r="U228" s="624" t="n"/>
      <c r="V228" s="624" t="n"/>
      <c r="W228" s="624" t="n"/>
      <c r="X228" s="624" t="n"/>
      <c r="Y228" s="624" t="n"/>
      <c r="Z228" s="624" t="n"/>
      <c r="AA228" s="624" t="n"/>
      <c r="AB228" s="624" t="n"/>
      <c r="AC228" s="9" t="n"/>
    </row>
    <row r="229" ht="33.6" customHeight="1" thickBot="1">
      <c r="B229" s="187">
        <f>SUM(B230:B336)/COUNT(B230:B336)</f>
        <v/>
      </c>
      <c r="C229" s="190">
        <f>IF(B229=0,"*","")</f>
        <v/>
      </c>
      <c r="D229" s="519" t="inlineStr">
        <is>
          <t>OPERACIONES</t>
        </is>
      </c>
      <c r="E229" s="655" t="n"/>
      <c r="F229" s="655" t="n"/>
      <c r="G229" s="655" t="n"/>
      <c r="H229" s="655" t="n"/>
      <c r="I229" s="655" t="n"/>
      <c r="J229" s="655" t="n"/>
      <c r="K229" s="655" t="n"/>
      <c r="L229" s="655" t="n"/>
      <c r="M229" s="655" t="n"/>
      <c r="N229" s="655" t="n"/>
      <c r="O229" s="655" t="n"/>
      <c r="P229" s="655" t="n"/>
      <c r="Q229" s="655" t="n"/>
      <c r="R229" s="655" t="n"/>
      <c r="S229" s="655" t="n"/>
      <c r="T229" s="655" t="n"/>
      <c r="U229" s="655" t="n"/>
      <c r="V229" s="655" t="n"/>
      <c r="W229" s="655" t="n"/>
      <c r="X229" s="655" t="n"/>
      <c r="Y229" s="655" t="n"/>
      <c r="Z229" s="655" t="n"/>
      <c r="AA229" s="666" t="n"/>
      <c r="AB229" s="113" t="n"/>
      <c r="AC229" s="9" t="n"/>
    </row>
    <row r="230" ht="70.5" customHeight="1">
      <c r="B230" s="187">
        <f>IF(LEN(E230)&gt;1,1,0)</f>
        <v/>
      </c>
      <c r="C230" s="190">
        <f>IF(B230=0,"*","")</f>
        <v/>
      </c>
      <c r="D230" s="53" t="inlineStr">
        <is>
          <t>Acerca de:  
(Explique detalladamente las actividades que realiza su empresa, siendo lo más específco posible)</t>
        </is>
      </c>
      <c r="E230" s="749" t="inlineStr">
        <is>
          <t>Bioenlace es una plataforma SaaS de salud que permite a profesionales y efectores gestionar turnos, consultas, teleconsulta, historia clinica y pedidos de atencion, con asistente conversacional. El titular desarrolla, opera y comercializa el software y sus aplicaciones moviles (paciente y personal de salud).</t>
        </is>
      </c>
      <c r="F230" s="683" t="n"/>
      <c r="G230" s="683" t="n"/>
      <c r="H230" s="683" t="n"/>
      <c r="I230" s="683" t="n"/>
      <c r="J230" s="683" t="n"/>
      <c r="K230" s="683" t="n"/>
      <c r="L230" s="683" t="n"/>
      <c r="M230" s="683" t="n"/>
      <c r="N230" s="683" t="n"/>
      <c r="O230" s="683" t="n"/>
      <c r="P230" s="683" t="n"/>
      <c r="Q230" s="683" t="n"/>
      <c r="R230" s="683" t="n"/>
      <c r="S230" s="683" t="n"/>
      <c r="T230" s="683" t="n"/>
      <c r="U230" s="683" t="n"/>
      <c r="V230" s="683" t="n"/>
      <c r="W230" s="683" t="n"/>
      <c r="X230" s="683" t="n"/>
      <c r="Y230" s="683" t="n"/>
      <c r="Z230" s="683" t="n"/>
      <c r="AA230" s="684" t="n"/>
      <c r="AB230" s="587" t="n"/>
      <c r="AC230" s="9" t="n"/>
    </row>
    <row r="231" ht="29.1" customHeight="1">
      <c r="B231" s="187">
        <f>IF(LEN(E231)&gt;1,1,0)</f>
        <v/>
      </c>
      <c r="C231" s="190">
        <f>IF(B231=0,"*","")</f>
        <v/>
      </c>
      <c r="D231" s="34" t="inlineStr">
        <is>
          <t>Clasificación:</t>
        </is>
      </c>
      <c r="E231" s="706" t="inlineStr">
        <is>
          <t>Servicios</t>
        </is>
      </c>
      <c r="F231" s="671" t="n"/>
      <c r="G231" s="671" t="n"/>
      <c r="H231" s="672" t="n"/>
      <c r="I231" s="750" t="n"/>
      <c r="J231" s="728" t="n"/>
      <c r="K231" s="728" t="n"/>
      <c r="L231" s="728" t="n"/>
      <c r="M231" s="728" t="n"/>
      <c r="N231" s="728" t="n"/>
      <c r="O231" s="728" t="n"/>
      <c r="P231" s="728" t="n"/>
      <c r="Q231" s="728" t="n"/>
      <c r="R231" s="728" t="n"/>
      <c r="S231" s="728" t="n"/>
      <c r="T231" s="728" t="n"/>
      <c r="U231" s="728" t="n"/>
      <c r="V231" s="728" t="n"/>
      <c r="W231" s="728" t="n"/>
      <c r="X231" s="728" t="n"/>
      <c r="Y231" s="728" t="n"/>
      <c r="Z231" s="728" t="n"/>
      <c r="AA231" s="751" t="n"/>
      <c r="AB231" s="326" t="n"/>
      <c r="AC231" s="9" t="n"/>
    </row>
    <row r="232" ht="29.1" customHeight="1" thickBot="1">
      <c r="B232" s="187">
        <f>IF(LEN(E232)&gt;1,1,0)</f>
        <v/>
      </c>
      <c r="C232" s="190">
        <f>IF(B232=0,"*","")</f>
        <v/>
      </c>
      <c r="D232" s="35" t="inlineStr">
        <is>
          <t>¿Es empresa de construcción?</t>
        </is>
      </c>
      <c r="E232" s="747" t="inlineStr">
        <is>
          <t>No</t>
        </is>
      </c>
      <c r="F232" s="679" t="n"/>
      <c r="G232" s="679" t="n"/>
      <c r="H232" s="680" t="n"/>
      <c r="I232" s="752" t="n"/>
      <c r="J232" s="719" t="n"/>
      <c r="K232" s="719" t="n"/>
      <c r="L232" s="719" t="n"/>
      <c r="M232" s="719" t="n"/>
      <c r="N232" s="719" t="n"/>
      <c r="O232" s="719" t="n"/>
      <c r="P232" s="719" t="n"/>
      <c r="Q232" s="719" t="n"/>
      <c r="R232" s="719" t="n"/>
      <c r="S232" s="719" t="n"/>
      <c r="T232" s="719" t="n"/>
      <c r="U232" s="719" t="n"/>
      <c r="V232" s="719" t="n"/>
      <c r="W232" s="719" t="n"/>
      <c r="X232" s="719" t="n"/>
      <c r="Y232" s="719" t="n"/>
      <c r="Z232" s="719" t="n"/>
      <c r="AA232" s="753" t="n"/>
      <c r="AB232" s="326" t="n"/>
      <c r="AC232" s="9" t="n"/>
    </row>
    <row r="233" ht="29.1" customHeight="1">
      <c r="B233" s="187" t="n"/>
      <c r="D233" s="103" t="n"/>
      <c r="E233" s="323" t="n"/>
      <c r="F233" s="323" t="n"/>
      <c r="G233" s="323" t="n"/>
      <c r="H233" s="323" t="n"/>
      <c r="I233" s="323" t="n"/>
      <c r="J233" s="104" t="n"/>
      <c r="K233" s="323" t="n"/>
      <c r="L233" s="323" t="n"/>
      <c r="M233" s="323" t="n"/>
      <c r="N233" s="323" t="n"/>
      <c r="O233" s="323" t="n"/>
      <c r="P233" s="323" t="n"/>
      <c r="Q233" s="323" t="n"/>
      <c r="R233" s="323" t="n"/>
      <c r="S233" s="323" t="n"/>
      <c r="T233" s="323" t="n"/>
      <c r="U233" s="323" t="n"/>
      <c r="V233" s="323" t="n"/>
      <c r="W233" s="323" t="n"/>
      <c r="X233" s="323" t="n"/>
      <c r="Y233" s="323" t="n"/>
      <c r="Z233" s="323" t="n"/>
      <c r="AA233" s="324" t="n"/>
      <c r="AB233" s="326" t="n"/>
      <c r="AC233" s="9" t="n"/>
    </row>
    <row r="234" ht="29.4" customHeight="1">
      <c r="B234" s="187" t="n"/>
      <c r="D234" s="754">
        <f>IF(OR($E$232="No",LEN($E$232)&lt;1),"NA","(Anexe obras actuales y las 5 más importantes en los últimos 2 años)")</f>
        <v/>
      </c>
      <c r="E234" s="29" t="n"/>
      <c r="F234" s="29" t="n"/>
      <c r="G234" s="29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29" t="n"/>
      <c r="R234" s="29" t="n"/>
      <c r="S234" s="29" t="n"/>
      <c r="T234" s="29" t="n"/>
      <c r="U234" s="29" t="n"/>
      <c r="V234" s="29" t="n"/>
      <c r="W234" s="29" t="n"/>
      <c r="X234" s="29" t="n"/>
      <c r="Y234" s="29" t="n"/>
      <c r="Z234" s="29" t="n"/>
      <c r="AA234" s="661" t="n"/>
      <c r="AB234" s="220" t="n"/>
      <c r="AC234" s="9" t="n"/>
    </row>
    <row r="235" ht="30.9" customHeight="1">
      <c r="B235" s="187" t="n"/>
      <c r="D235" s="54" t="n"/>
      <c r="E235" s="478" t="inlineStr">
        <is>
          <t>Obra 1</t>
        </is>
      </c>
      <c r="F235" s="689" t="n"/>
      <c r="G235" s="689" t="n"/>
      <c r="H235" s="690" t="n"/>
      <c r="I235" s="478" t="inlineStr">
        <is>
          <t>Obra 2</t>
        </is>
      </c>
      <c r="J235" s="689" t="n"/>
      <c r="K235" s="689" t="n"/>
      <c r="L235" s="690" t="n"/>
      <c r="M235" s="478" t="inlineStr">
        <is>
          <t>Obra 3</t>
        </is>
      </c>
      <c r="N235" s="689" t="n"/>
      <c r="O235" s="689" t="n"/>
      <c r="P235" s="690" t="n"/>
      <c r="Q235" s="478" t="inlineStr">
        <is>
          <t>Obra 4</t>
        </is>
      </c>
      <c r="R235" s="689" t="n"/>
      <c r="S235" s="689" t="n"/>
      <c r="T235" s="690" t="n"/>
      <c r="U235" s="478" t="inlineStr">
        <is>
          <t>Obra 5</t>
        </is>
      </c>
      <c r="V235" s="689" t="n"/>
      <c r="W235" s="689" t="n"/>
      <c r="X235" s="690" t="n"/>
      <c r="Y235" s="225" t="n"/>
      <c r="Z235" s="728" t="n"/>
      <c r="AA235" s="751" t="n"/>
      <c r="AB235" s="222" t="n"/>
      <c r="AC235" s="9" t="n"/>
    </row>
    <row r="236" ht="29.1" customHeight="1">
      <c r="B236" s="187">
        <f>IF(OR($E$232="No",LEN($E$232)&lt;1),1,IF(LEN(E236)&gt;1,1,0))</f>
        <v/>
      </c>
      <c r="C236" s="190">
        <f>IF(B236=0,"*","")</f>
        <v/>
      </c>
      <c r="D236" s="101" t="inlineStr">
        <is>
          <t>Estatus actual de la obra:</t>
        </is>
      </c>
      <c r="E236" s="226" t="n"/>
      <c r="F236" s="735" t="n"/>
      <c r="G236" s="735" t="n"/>
      <c r="H236" s="736" t="n"/>
      <c r="I236" s="226" t="n"/>
      <c r="J236" s="735" t="n"/>
      <c r="K236" s="735" t="n"/>
      <c r="L236" s="736" t="n"/>
      <c r="M236" s="226" t="n"/>
      <c r="N236" s="735" t="n"/>
      <c r="O236" s="735" t="n"/>
      <c r="P236" s="736" t="n"/>
      <c r="Q236" s="226" t="n"/>
      <c r="R236" s="735" t="n"/>
      <c r="S236" s="735" t="n"/>
      <c r="T236" s="736" t="n"/>
      <c r="U236" s="226" t="n"/>
      <c r="V236" s="735" t="n"/>
      <c r="W236" s="735" t="n"/>
      <c r="X236" s="736" t="n"/>
      <c r="Y236" s="728" t="n"/>
      <c r="Z236" s="728" t="n"/>
      <c r="AA236" s="751" t="n"/>
      <c r="AB236" s="222" t="n"/>
      <c r="AC236" s="9" t="n"/>
    </row>
    <row r="237" ht="29.1" customHeight="1">
      <c r="B237" s="187">
        <f>IF(OR($E$232="No",LEN($E$232)&lt;1),1,IF(LEN(E237)&gt;1,1,0))</f>
        <v/>
      </c>
      <c r="C237" s="190">
        <f>IF(B237=0,"*","")</f>
        <v/>
      </c>
      <c r="D237" s="101" t="inlineStr">
        <is>
          <t xml:space="preserve">Fecha de término (estimada): </t>
        </is>
      </c>
      <c r="E237" s="755" t="n"/>
      <c r="F237" s="735" t="n"/>
      <c r="G237" s="735" t="n"/>
      <c r="H237" s="736" t="n"/>
      <c r="I237" s="755" t="n"/>
      <c r="J237" s="735" t="n"/>
      <c r="K237" s="735" t="n"/>
      <c r="L237" s="736" t="n"/>
      <c r="M237" s="755" t="n"/>
      <c r="N237" s="735" t="n"/>
      <c r="O237" s="735" t="n"/>
      <c r="P237" s="736" t="n"/>
      <c r="Q237" s="755" t="n"/>
      <c r="R237" s="735" t="n"/>
      <c r="S237" s="735" t="n"/>
      <c r="T237" s="736" t="n"/>
      <c r="U237" s="755" t="n"/>
      <c r="V237" s="735" t="n"/>
      <c r="W237" s="735" t="n"/>
      <c r="X237" s="736" t="n"/>
      <c r="Y237" s="728" t="n"/>
      <c r="Z237" s="728" t="n"/>
      <c r="AA237" s="751" t="n"/>
      <c r="AB237" s="222" t="n"/>
      <c r="AC237" s="9" t="n"/>
    </row>
    <row r="238" ht="50.1" customHeight="1">
      <c r="B238" s="187">
        <f>IF(OR($E$232="No",LEN($E$232)&lt;1),1,IF(LEN(E238)&gt;1,1,0))</f>
        <v/>
      </c>
      <c r="C238" s="190">
        <f>IF(B238=0,"*","")</f>
        <v/>
      </c>
      <c r="D238" s="101" t="inlineStr">
        <is>
          <t>Descripción:</t>
        </is>
      </c>
      <c r="E238" s="226" t="n"/>
      <c r="F238" s="735" t="n"/>
      <c r="G238" s="735" t="n"/>
      <c r="H238" s="736" t="n"/>
      <c r="I238" s="226" t="n"/>
      <c r="J238" s="735" t="n"/>
      <c r="K238" s="735" t="n"/>
      <c r="L238" s="736" t="n"/>
      <c r="M238" s="226" t="n"/>
      <c r="N238" s="735" t="n"/>
      <c r="O238" s="735" t="n"/>
      <c r="P238" s="736" t="n"/>
      <c r="Q238" s="226" t="n"/>
      <c r="R238" s="735" t="n"/>
      <c r="S238" s="735" t="n"/>
      <c r="T238" s="736" t="n"/>
      <c r="U238" s="226" t="n"/>
      <c r="V238" s="735" t="n"/>
      <c r="W238" s="735" t="n"/>
      <c r="X238" s="736" t="n"/>
      <c r="Y238" s="728" t="n"/>
      <c r="Z238" s="728" t="n"/>
      <c r="AA238" s="751" t="n"/>
      <c r="AB238" s="222" t="n"/>
      <c r="AC238" s="9" t="n"/>
    </row>
    <row r="239" ht="32.4" customHeight="1">
      <c r="B239" s="187">
        <f>IF(OR($E$232="No",LEN($E$232)&lt;1),1,IF(LEN(E239)&gt;1,1,0))</f>
        <v/>
      </c>
      <c r="C239" s="190">
        <f>IF(B239=0,"*","")</f>
        <v/>
      </c>
      <c r="D239" s="101" t="inlineStr">
        <is>
          <t>Sector:</t>
        </is>
      </c>
      <c r="E239" s="226" t="n"/>
      <c r="F239" s="735" t="n"/>
      <c r="G239" s="735" t="n"/>
      <c r="H239" s="736" t="n"/>
      <c r="I239" s="226" t="n"/>
      <c r="J239" s="735" t="n"/>
      <c r="K239" s="735" t="n"/>
      <c r="L239" s="736" t="n"/>
      <c r="M239" s="226" t="n"/>
      <c r="N239" s="735" t="n"/>
      <c r="O239" s="735" t="n"/>
      <c r="P239" s="736" t="n"/>
      <c r="Q239" s="226" t="n"/>
      <c r="R239" s="735" t="n"/>
      <c r="S239" s="735" t="n"/>
      <c r="T239" s="736" t="n"/>
      <c r="U239" s="226" t="n"/>
      <c r="V239" s="735" t="n"/>
      <c r="W239" s="735" t="n"/>
      <c r="X239" s="736" t="n"/>
      <c r="Y239" s="728" t="n"/>
      <c r="Z239" s="728" t="n"/>
      <c r="AA239" s="751" t="n"/>
      <c r="AB239" s="222" t="n"/>
      <c r="AC239" s="9" t="n"/>
    </row>
    <row r="240" ht="29.1" customHeight="1">
      <c r="B240" s="187">
        <f>IF(OR($E$232="No",LEN($E$232)&lt;1),1,IF(LEN(E240)&gt;1,1,0))</f>
        <v/>
      </c>
      <c r="C240" s="190">
        <f>IF(B240=0,"*","")</f>
        <v/>
      </c>
      <c r="D240" s="101" t="inlineStr">
        <is>
          <t>Ciudad / estado:</t>
        </is>
      </c>
      <c r="E240" s="226" t="n"/>
      <c r="F240" s="735" t="n"/>
      <c r="G240" s="735" t="n"/>
      <c r="H240" s="736" t="n"/>
      <c r="I240" s="226" t="n"/>
      <c r="J240" s="735" t="n"/>
      <c r="K240" s="735" t="n"/>
      <c r="L240" s="736" t="n"/>
      <c r="M240" s="226" t="n"/>
      <c r="N240" s="735" t="n"/>
      <c r="O240" s="735" t="n"/>
      <c r="P240" s="736" t="n"/>
      <c r="Q240" s="226" t="n"/>
      <c r="R240" s="735" t="n"/>
      <c r="S240" s="735" t="n"/>
      <c r="T240" s="736" t="n"/>
      <c r="U240" s="226" t="n"/>
      <c r="V240" s="735" t="n"/>
      <c r="W240" s="735" t="n"/>
      <c r="X240" s="736" t="n"/>
      <c r="Y240" s="728" t="n"/>
      <c r="Z240" s="728" t="n"/>
      <c r="AA240" s="751" t="n"/>
      <c r="AB240" s="222" t="n"/>
      <c r="AC240" s="9" t="n"/>
    </row>
    <row r="241" ht="29.1" customHeight="1">
      <c r="B241" s="187">
        <f>IF(OR($E$232="No",LEN($E$232)&lt;1),1,IF(LEN(E241)&gt;1,1,0))</f>
        <v/>
      </c>
      <c r="C241" s="190">
        <f>IF(B241=0,"*","")</f>
        <v/>
      </c>
      <c r="D241" s="101" t="inlineStr">
        <is>
          <t>Valor de la obra: $</t>
        </is>
      </c>
      <c r="E241" s="226" t="n"/>
      <c r="F241" s="735" t="n"/>
      <c r="G241" s="735" t="n"/>
      <c r="H241" s="736" t="n"/>
      <c r="I241" s="226" t="n"/>
      <c r="J241" s="735" t="n"/>
      <c r="K241" s="735" t="n"/>
      <c r="L241" s="736" t="n"/>
      <c r="M241" s="226" t="n"/>
      <c r="N241" s="735" t="n"/>
      <c r="O241" s="735" t="n"/>
      <c r="P241" s="736" t="n"/>
      <c r="Q241" s="226" t="n"/>
      <c r="R241" s="735" t="n"/>
      <c r="S241" s="735" t="n"/>
      <c r="T241" s="736" t="n"/>
      <c r="U241" s="226" t="n"/>
      <c r="V241" s="735" t="n"/>
      <c r="W241" s="735" t="n"/>
      <c r="X241" s="736" t="n"/>
      <c r="Y241" s="728" t="n"/>
      <c r="Z241" s="728" t="n"/>
      <c r="AA241" s="751" t="n"/>
      <c r="AB241" s="222" t="n"/>
      <c r="AC241" s="9" t="n"/>
    </row>
    <row r="242" ht="29.1" customHeight="1">
      <c r="B242" s="187">
        <f>IF(OR($E$232="No",LEN($E$232)&lt;1),1,IF(LEN(E242)&gt;1,1,0))</f>
        <v/>
      </c>
      <c r="C242" s="190">
        <f>IF(B242=0,"*","")</f>
        <v/>
      </c>
      <c r="D242" s="102" t="inlineStr">
        <is>
          <t xml:space="preserve">¿La obra fue afianzada? </t>
        </is>
      </c>
      <c r="E242" s="226" t="n"/>
      <c r="F242" s="735" t="n"/>
      <c r="G242" s="735" t="n"/>
      <c r="H242" s="736" t="n"/>
      <c r="I242" s="226" t="n"/>
      <c r="J242" s="735" t="n"/>
      <c r="K242" s="735" t="n"/>
      <c r="L242" s="736" t="n"/>
      <c r="M242" s="226" t="n"/>
      <c r="N242" s="735" t="n"/>
      <c r="O242" s="735" t="n"/>
      <c r="P242" s="736" t="n"/>
      <c r="Q242" s="226" t="n"/>
      <c r="R242" s="735" t="n"/>
      <c r="S242" s="735" t="n"/>
      <c r="T242" s="736" t="n"/>
      <c r="U242" s="226" t="n"/>
      <c r="V242" s="735" t="n"/>
      <c r="W242" s="735" t="n"/>
      <c r="X242" s="736" t="n"/>
      <c r="Y242" s="728" t="n"/>
      <c r="Z242" s="728" t="n"/>
      <c r="AA242" s="751" t="n"/>
      <c r="AB242" s="222" t="n"/>
      <c r="AC242" s="9" t="n"/>
    </row>
    <row r="243" ht="29.1" customHeight="1">
      <c r="B243" s="187">
        <f>IF(OR($E$232="No",LEN($E$232)&lt;1,LEN(D243)&lt;2),1,IF(OR(LEN(E243)&gt;1,LEN(I243)&gt;1,LEN(M243)&gt;1,LEN(Q243)&gt;1,LEN(U243)&gt;1),1,0))</f>
        <v/>
      </c>
      <c r="C243" s="190">
        <f>IF(B243=0,"*","")</f>
        <v/>
      </c>
      <c r="D243" s="102">
        <f>IF(OR($E$242="Sí",$I$242="Sí",$M$242="Sí",$Q$242="Sí",$U$242="Sí"),"Tipo de fianza:","")</f>
        <v/>
      </c>
      <c r="E243" s="226" t="n"/>
      <c r="F243" s="735" t="n"/>
      <c r="G243" s="735" t="n"/>
      <c r="H243" s="736" t="n"/>
      <c r="I243" s="226" t="n"/>
      <c r="J243" s="735" t="n"/>
      <c r="K243" s="735" t="n"/>
      <c r="L243" s="736" t="n"/>
      <c r="M243" s="226" t="n"/>
      <c r="N243" s="735" t="n"/>
      <c r="O243" s="735" t="n"/>
      <c r="P243" s="736" t="n"/>
      <c r="Q243" s="226" t="n"/>
      <c r="R243" s="735" t="n"/>
      <c r="S243" s="735" t="n"/>
      <c r="T243" s="736" t="n"/>
      <c r="U243" s="226" t="n"/>
      <c r="V243" s="735" t="n"/>
      <c r="W243" s="735" t="n"/>
      <c r="X243" s="736" t="n"/>
      <c r="Y243" s="728" t="n"/>
      <c r="Z243" s="728" t="n"/>
      <c r="AA243" s="751" t="n"/>
      <c r="AB243" s="222" t="n"/>
      <c r="AC243" s="9" t="n"/>
    </row>
    <row r="244" ht="29.1" customHeight="1" thickBot="1">
      <c r="B244" s="187">
        <f>IF(OR($E$232="No",LEN($E$232)&lt;1,LEN(D244)&lt;2),1,IF(OR(LEN(E244)&gt;1,LEN(I244)&gt;1,LEN(M244)&gt;1,LEN(Q244)&gt;1,LEN(U244)&gt;1),1,0))</f>
        <v/>
      </c>
      <c r="C244" s="190">
        <f>IF(B244=0,"*","")</f>
        <v/>
      </c>
      <c r="D244" s="105">
        <f>IF(OR($E$242="Sí",$I$242="Sí",$M$242="Sí",$Q$242="Sí",$U$242="Sí"),"Nombre de la empresa que proporcionó la fianza: ","")</f>
        <v/>
      </c>
      <c r="E244" s="296" t="n"/>
      <c r="F244" s="756" t="n"/>
      <c r="G244" s="756" t="n"/>
      <c r="H244" s="757" t="n"/>
      <c r="I244" s="296" t="n"/>
      <c r="J244" s="756" t="n"/>
      <c r="K244" s="756" t="n"/>
      <c r="L244" s="757" t="n"/>
      <c r="M244" s="296" t="n"/>
      <c r="N244" s="756" t="n"/>
      <c r="O244" s="756" t="n"/>
      <c r="P244" s="757" t="n"/>
      <c r="Q244" s="296" t="n"/>
      <c r="R244" s="756" t="n"/>
      <c r="S244" s="756" t="n"/>
      <c r="T244" s="757" t="n"/>
      <c r="U244" s="296" t="n"/>
      <c r="V244" s="756" t="n"/>
      <c r="W244" s="756" t="n"/>
      <c r="X244" s="757" t="n"/>
      <c r="Y244" s="719" t="n"/>
      <c r="Z244" s="719" t="n"/>
      <c r="AA244" s="753" t="n"/>
      <c r="AB244" s="222" t="n"/>
      <c r="AC244" s="9" t="n"/>
    </row>
    <row r="245" ht="49.5" customHeight="1" thickBot="1">
      <c r="B245" s="187" t="n"/>
      <c r="D245" s="36" t="n"/>
      <c r="E245" s="624" t="n"/>
      <c r="F245" s="624" t="n"/>
      <c r="G245" s="624" t="n"/>
      <c r="H245" s="624" t="n"/>
      <c r="I245" s="624" t="n"/>
      <c r="J245" s="624" t="n"/>
      <c r="K245" s="624" t="n"/>
      <c r="L245" s="624" t="n"/>
      <c r="M245" s="624" t="n"/>
      <c r="N245" s="624" t="n"/>
      <c r="O245" s="624" t="n"/>
      <c r="P245" s="624" t="n"/>
      <c r="Q245" s="624" t="n"/>
      <c r="R245" s="624" t="n"/>
      <c r="S245" s="624" t="n"/>
      <c r="T245" s="624" t="n"/>
      <c r="U245" s="624" t="n"/>
      <c r="V245" s="624" t="n"/>
      <c r="W245" s="624" t="n"/>
      <c r="X245" s="624" t="n"/>
      <c r="Y245" s="55" t="n"/>
      <c r="Z245" s="55" t="n"/>
      <c r="AA245" s="55" t="n"/>
      <c r="AB245" s="55" t="n"/>
      <c r="AC245" s="9" t="n"/>
    </row>
    <row r="246" ht="38.1" customHeight="1" thickBot="1">
      <c r="B246" s="187" t="n"/>
      <c r="D246" s="654" t="inlineStr">
        <is>
          <t xml:space="preserve">PRODUCTOS / MARCAS </t>
        </is>
      </c>
      <c r="E246" s="655" t="n"/>
      <c r="F246" s="655" t="n"/>
      <c r="G246" s="655" t="n"/>
      <c r="H246" s="655" t="n"/>
      <c r="I246" s="655" t="n"/>
      <c r="J246" s="655" t="n"/>
      <c r="K246" s="655" t="n"/>
      <c r="L246" s="655" t="n"/>
      <c r="M246" s="655" t="n"/>
      <c r="N246" s="655" t="n"/>
      <c r="O246" s="655" t="n"/>
      <c r="P246" s="655" t="n"/>
      <c r="Q246" s="655" t="n"/>
      <c r="R246" s="655" t="n"/>
      <c r="S246" s="655" t="n"/>
      <c r="T246" s="655" t="n"/>
      <c r="U246" s="655" t="n"/>
      <c r="V246" s="655" t="n"/>
      <c r="W246" s="655" t="n"/>
      <c r="X246" s="655" t="n"/>
      <c r="Y246" s="655" t="n"/>
      <c r="Z246" s="655" t="n"/>
      <c r="AA246" s="656" t="n"/>
      <c r="AB246" s="401" t="n"/>
      <c r="AC246" s="9" t="n"/>
    </row>
    <row r="247" ht="113.1" customHeight="1">
      <c r="B247" s="187">
        <f>IF(LEN(E247)&gt;1,1,0)</f>
        <v/>
      </c>
      <c r="C247" s="190">
        <f>IF(B247=0,"*","")</f>
        <v/>
      </c>
      <c r="D247" s="56" t="inlineStr">
        <is>
          <t xml:space="preserve">Nombre de las marcas 
o productos que manejan: </t>
        </is>
      </c>
      <c r="E247" s="758" t="inlineStr">
        <is>
          <t>Bioenlace (plataforma web y apps moviles)</t>
        </is>
      </c>
      <c r="F247" s="759" t="n"/>
      <c r="G247" s="759" t="n"/>
      <c r="H247" s="759" t="n"/>
      <c r="I247" s="759" t="n"/>
      <c r="J247" s="759" t="n"/>
      <c r="K247" s="759" t="n"/>
      <c r="L247" s="759" t="n"/>
      <c r="M247" s="759" t="n"/>
      <c r="N247" s="759" t="n"/>
      <c r="O247" s="759" t="n"/>
      <c r="P247" s="759" t="n"/>
      <c r="Q247" s="759" t="n"/>
      <c r="R247" s="759" t="n"/>
      <c r="S247" s="759" t="n"/>
      <c r="T247" s="759" t="n"/>
      <c r="U247" s="759" t="n"/>
      <c r="V247" s="759" t="n"/>
      <c r="W247" s="759" t="n"/>
      <c r="X247" s="759" t="n"/>
      <c r="Y247" s="759" t="n"/>
      <c r="Z247" s="759" t="n"/>
      <c r="AA247" s="760" t="n"/>
      <c r="AB247" s="587" t="n"/>
      <c r="AC247" s="9" t="n"/>
    </row>
    <row r="248" ht="26.4" customHeight="1">
      <c r="B248" s="187">
        <f>IF(LEN(E248)&gt;1,1,0)</f>
        <v/>
      </c>
      <c r="C248" s="190">
        <f>IF(B248=0,"*","")</f>
        <v/>
      </c>
      <c r="D248" s="57" t="inlineStr">
        <is>
          <t>¿Representa / distribuye a alguna compañía?</t>
        </is>
      </c>
      <c r="E248" s="761" t="inlineStr">
        <is>
          <t>No</t>
        </is>
      </c>
      <c r="F248" s="762" t="n"/>
      <c r="G248" s="762" t="n"/>
      <c r="H248" s="763" t="n"/>
      <c r="I248" s="764" t="n"/>
      <c r="J248" s="765" t="n"/>
      <c r="K248" s="765" t="n"/>
      <c r="L248" s="765" t="n"/>
      <c r="M248" s="765" t="n"/>
      <c r="N248" s="765" t="n"/>
      <c r="O248" s="765" t="n"/>
      <c r="P248" s="765" t="n"/>
      <c r="Q248" s="765" t="n"/>
      <c r="R248" s="765" t="n"/>
      <c r="S248" s="765" t="n"/>
      <c r="T248" s="765" t="n"/>
      <c r="U248" s="765" t="n"/>
      <c r="V248" s="765" t="n"/>
      <c r="W248" s="765" t="n"/>
      <c r="X248" s="765" t="n"/>
      <c r="Y248" s="765" t="n"/>
      <c r="Z248" s="765" t="n"/>
      <c r="AA248" s="766" t="n"/>
      <c r="AB248" s="624" t="n"/>
      <c r="AC248" s="9" t="n"/>
    </row>
    <row r="249" ht="25.5" customHeight="1" thickBot="1">
      <c r="B249" s="187">
        <f>IF(E248="No",1,IF(LEN(E249)&gt;1,1,0))</f>
        <v/>
      </c>
      <c r="C249" s="190">
        <f>IF(B249=0,"*","")</f>
        <v/>
      </c>
      <c r="D249" s="58">
        <f>IF(E248="Sí","Razón social de la empresa que representa:","")</f>
        <v/>
      </c>
      <c r="E249" s="767" t="n"/>
      <c r="F249" s="768" t="n"/>
      <c r="G249" s="768" t="n"/>
      <c r="H249" s="768" t="n"/>
      <c r="I249" s="768" t="n"/>
      <c r="J249" s="768" t="n"/>
      <c r="K249" s="768" t="n"/>
      <c r="L249" s="768" t="n"/>
      <c r="M249" s="768" t="n"/>
      <c r="N249" s="768" t="n"/>
      <c r="O249" s="768" t="n"/>
      <c r="P249" s="768" t="n"/>
      <c r="Q249" s="768" t="n"/>
      <c r="R249" s="768" t="n"/>
      <c r="S249" s="768" t="n"/>
      <c r="T249" s="768" t="n"/>
      <c r="U249" s="768" t="n"/>
      <c r="V249" s="768" t="n"/>
      <c r="W249" s="768" t="n"/>
      <c r="X249" s="768" t="n"/>
      <c r="Y249" s="768" t="n"/>
      <c r="Z249" s="768" t="n"/>
      <c r="AA249" s="769" t="n"/>
      <c r="AB249" s="147" t="n"/>
      <c r="AC249" s="9" t="n"/>
    </row>
    <row r="250" ht="25.5" customHeight="1" thickBot="1">
      <c r="B250" s="187" t="n"/>
      <c r="E250" s="624" t="n"/>
      <c r="F250" s="624" t="n"/>
      <c r="G250" s="624" t="n"/>
      <c r="H250" s="624" t="n"/>
      <c r="I250" s="624" t="n"/>
      <c r="J250" s="624" t="n"/>
      <c r="K250" s="624" t="n"/>
      <c r="L250" s="624" t="n"/>
      <c r="M250" s="624" t="n"/>
      <c r="N250" s="624" t="n"/>
      <c r="O250" s="624" t="n"/>
      <c r="P250" s="624" t="n"/>
      <c r="Q250" s="624" t="n"/>
      <c r="R250" s="624" t="n"/>
      <c r="S250" s="624" t="n"/>
      <c r="T250" s="624" t="n"/>
      <c r="U250" s="624" t="n"/>
      <c r="V250" s="624" t="n"/>
      <c r="W250" s="624" t="n"/>
      <c r="X250" s="624" t="n"/>
      <c r="Y250" s="624" t="n"/>
      <c r="Z250" s="624" t="n"/>
      <c r="AA250" s="624" t="n"/>
      <c r="AB250" s="624" t="n"/>
      <c r="AC250" s="9" t="n"/>
    </row>
    <row r="251" ht="36.9" customHeight="1" thickBot="1">
      <c r="B251" s="187" t="n"/>
      <c r="D251" s="654" t="inlineStr">
        <is>
          <t>COMPRAS</t>
        </is>
      </c>
      <c r="E251" s="655" t="n"/>
      <c r="F251" s="655" t="n"/>
      <c r="G251" s="655" t="n"/>
      <c r="H251" s="655" t="n"/>
      <c r="I251" s="655" t="n"/>
      <c r="J251" s="655" t="n"/>
      <c r="K251" s="655" t="n"/>
      <c r="L251" s="655" t="n"/>
      <c r="M251" s="655" t="n"/>
      <c r="N251" s="655" t="n"/>
      <c r="O251" s="655" t="n"/>
      <c r="P251" s="655" t="n"/>
      <c r="Q251" s="655" t="n"/>
      <c r="R251" s="655" t="n"/>
      <c r="S251" s="655" t="n"/>
      <c r="T251" s="655" t="n"/>
      <c r="U251" s="655" t="n"/>
      <c r="V251" s="655" t="n"/>
      <c r="W251" s="655" t="n"/>
      <c r="X251" s="655" t="n"/>
      <c r="Y251" s="655" t="n"/>
      <c r="Z251" s="655" t="n"/>
      <c r="AA251" s="656" t="n"/>
      <c r="AB251" s="401" t="n"/>
      <c r="AC251" s="9" t="n"/>
    </row>
    <row r="252" ht="38.1" customHeight="1" thickBot="1">
      <c r="B252" s="187">
        <f>IF(E252&gt;0,1,0)</f>
        <v/>
      </c>
      <c r="C252" s="190">
        <f>IF(B252=0,"*","")</f>
        <v/>
      </c>
      <c r="D252" s="59" t="inlineStr">
        <is>
          <t>Número total de proveedores:
(Nacionales y extranjeros)</t>
        </is>
      </c>
      <c r="E252" s="770" t="inlineStr">
        <is>
          <t>5</t>
        </is>
      </c>
      <c r="F252" s="668" t="n"/>
      <c r="G252" s="668" t="n"/>
      <c r="H252" s="668" t="n"/>
      <c r="I252" s="668" t="n"/>
      <c r="J252" s="668" t="n"/>
      <c r="K252" s="668" t="n"/>
      <c r="L252" s="668" t="n"/>
      <c r="M252" s="668" t="n"/>
      <c r="N252" s="668" t="n"/>
      <c r="O252" s="668" t="n"/>
      <c r="P252" s="668" t="n"/>
      <c r="Q252" s="668" t="n"/>
      <c r="R252" s="668" t="n"/>
      <c r="S252" s="668" t="n"/>
      <c r="T252" s="668" t="n"/>
      <c r="U252" s="668" t="n"/>
      <c r="V252" s="668" t="n"/>
      <c r="W252" s="668" t="n"/>
      <c r="X252" s="668" t="n"/>
      <c r="Y252" s="668" t="n"/>
      <c r="Z252" s="668" t="n"/>
      <c r="AA252" s="669" t="n"/>
      <c r="AB252" s="135" t="n"/>
      <c r="AC252" s="9" t="n"/>
    </row>
    <row r="253" ht="26.1" customHeight="1" thickBot="1">
      <c r="B253" s="187" t="n"/>
      <c r="D253" s="598" t="inlineStr">
        <is>
          <t xml:space="preserve"> Distribución de proveedores</t>
        </is>
      </c>
      <c r="E253" s="655" t="n"/>
      <c r="F253" s="655" t="n"/>
      <c r="G253" s="655" t="n"/>
      <c r="H253" s="666" t="n"/>
      <c r="I253" s="771" t="n"/>
      <c r="J253" s="689" t="n"/>
      <c r="K253" s="689" t="n"/>
      <c r="L253" s="689" t="n"/>
      <c r="M253" s="689" t="n"/>
      <c r="N253" s="689" t="n"/>
      <c r="O253" s="689" t="n"/>
      <c r="P253" s="689" t="n"/>
      <c r="Q253" s="689" t="n"/>
      <c r="R253" s="689" t="n"/>
      <c r="S253" s="689" t="n"/>
      <c r="T253" s="689" t="n"/>
      <c r="U253" s="689" t="n"/>
      <c r="V253" s="689" t="n"/>
      <c r="W253" s="689" t="n"/>
      <c r="X253" s="689" t="n"/>
      <c r="Y253" s="689" t="n"/>
      <c r="Z253" s="689" t="n"/>
      <c r="AA253" s="746" t="n"/>
      <c r="AB253" s="148" t="n"/>
      <c r="AC253" s="9" t="n"/>
    </row>
    <row r="254">
      <c r="B254" s="187" t="n"/>
      <c r="D254" s="33" t="inlineStr">
        <is>
          <t xml:space="preserve">Porcentaje de proveedores nacionales: </t>
        </is>
      </c>
      <c r="E254" s="772" t="n">
        <v>0.2</v>
      </c>
      <c r="F254" s="668" t="n"/>
      <c r="G254" s="668" t="n"/>
      <c r="H254" s="66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29" t="n"/>
      <c r="R254" s="29" t="n"/>
      <c r="S254" s="29" t="n"/>
      <c r="T254" s="29" t="n"/>
      <c r="U254" s="29" t="n"/>
      <c r="V254" s="29" t="n"/>
      <c r="W254" s="29" t="n"/>
      <c r="X254" s="29" t="n"/>
      <c r="Y254" s="29" t="n"/>
      <c r="Z254" s="29" t="n"/>
      <c r="AA254" s="661" t="n"/>
      <c r="AB254" s="148" t="n"/>
      <c r="AC254" s="9" t="n"/>
    </row>
    <row r="255">
      <c r="B255" s="187">
        <f>IF(E254=0,1,IF(LEN(E255)&gt;1,1,0))</f>
        <v/>
      </c>
      <c r="C255" s="190">
        <f>IF(B255=0,"*","")</f>
        <v/>
      </c>
      <c r="D255" s="241" t="inlineStr">
        <is>
          <t xml:space="preserve">Término de pago a proveedores nacionales: </t>
        </is>
      </c>
      <c r="E255" s="236" t="inlineStr">
        <is>
          <t>Contado</t>
        </is>
      </c>
      <c r="F255" s="671" t="n"/>
      <c r="G255" s="671" t="n"/>
      <c r="H255" s="672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29" t="n"/>
      <c r="R255" s="29" t="n"/>
      <c r="S255" s="29" t="n"/>
      <c r="T255" s="29" t="n"/>
      <c r="U255" s="29" t="n"/>
      <c r="V255" s="29" t="n"/>
      <c r="W255" s="29" t="n"/>
      <c r="X255" s="29" t="n"/>
      <c r="Y255" s="29" t="n"/>
      <c r="Z255" s="29" t="n"/>
      <c r="AA255" s="661" t="n"/>
      <c r="AB255" s="148" t="n"/>
      <c r="AC255" s="9" t="n"/>
    </row>
    <row r="256">
      <c r="B256" s="187">
        <f>IF(E254=0,1,IF(LEN(E256)&gt;0,1,0))</f>
        <v/>
      </c>
      <c r="C256" s="190">
        <f>IF(B256=0,"*","")</f>
        <v/>
      </c>
      <c r="D256" s="241" t="inlineStr">
        <is>
          <t>Máximo días de crédito:</t>
        </is>
      </c>
      <c r="E256" s="236" t="n">
        <v>0</v>
      </c>
      <c r="F256" s="671" t="n"/>
      <c r="G256" s="671" t="n"/>
      <c r="H256" s="672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29" t="n"/>
      <c r="R256" s="29" t="n"/>
      <c r="S256" s="29" t="n"/>
      <c r="T256" s="29" t="n"/>
      <c r="U256" s="29" t="n"/>
      <c r="V256" s="29" t="n"/>
      <c r="W256" s="29" t="n"/>
      <c r="X256" s="29" t="n"/>
      <c r="Y256" s="29" t="n"/>
      <c r="Z256" s="29" t="n"/>
      <c r="AA256" s="661" t="n"/>
      <c r="AB256" s="148" t="n"/>
      <c r="AC256" s="9" t="n"/>
    </row>
    <row r="257">
      <c r="B257" s="187" t="n"/>
      <c r="D257" s="241" t="inlineStr">
        <is>
          <t>Porcentaje de proveedores internacionales:</t>
        </is>
      </c>
      <c r="E257" s="597">
        <f>1-E254</f>
        <v/>
      </c>
      <c r="F257" s="773" t="n"/>
      <c r="G257" s="773" t="n"/>
      <c r="H257" s="774" t="n"/>
      <c r="I257" s="693" t="n"/>
      <c r="J257" s="693" t="n"/>
      <c r="K257" s="693" t="n"/>
      <c r="L257" s="693" t="n"/>
      <c r="M257" s="693" t="n"/>
      <c r="N257" s="693" t="n"/>
      <c r="O257" s="693" t="n"/>
      <c r="P257" s="693" t="n"/>
      <c r="Q257" s="693" t="n"/>
      <c r="R257" s="693" t="n"/>
      <c r="S257" s="693" t="n"/>
      <c r="T257" s="693" t="n"/>
      <c r="U257" s="693" t="n"/>
      <c r="V257" s="693" t="n"/>
      <c r="W257" s="693" t="n"/>
      <c r="X257" s="693" t="n"/>
      <c r="Y257" s="693" t="n"/>
      <c r="Z257" s="693" t="n"/>
      <c r="AA257" s="775" t="n"/>
      <c r="AB257" s="148" t="n"/>
      <c r="AC257" s="9" t="n"/>
    </row>
    <row r="258" ht="32.1" customHeight="1">
      <c r="B258" s="187">
        <f>IF($E$257=0,1,IF(LEN(E258)&gt;1,1,0))</f>
        <v/>
      </c>
      <c r="C258" s="190">
        <f>IF(B258=0,"*","")</f>
        <v/>
      </c>
      <c r="D258" s="241" t="inlineStr">
        <is>
          <t xml:space="preserve">Indique los países de los que importa: </t>
        </is>
      </c>
      <c r="E258" s="776" t="inlineStr">
        <is>
          <t>Estados Unidos (servicios cloud / infraestructura)</t>
        </is>
      </c>
      <c r="F258" s="671" t="n"/>
      <c r="G258" s="671" t="n"/>
      <c r="H258" s="671" t="n"/>
      <c r="I258" s="671" t="n"/>
      <c r="J258" s="671" t="n"/>
      <c r="K258" s="671" t="n"/>
      <c r="L258" s="671" t="n"/>
      <c r="M258" s="671" t="n"/>
      <c r="N258" s="671" t="n"/>
      <c r="O258" s="671" t="n"/>
      <c r="P258" s="671" t="n"/>
      <c r="Q258" s="671" t="n"/>
      <c r="R258" s="671" t="n"/>
      <c r="S258" s="671" t="n"/>
      <c r="T258" s="671" t="n"/>
      <c r="U258" s="671" t="n"/>
      <c r="V258" s="671" t="n"/>
      <c r="W258" s="671" t="n"/>
      <c r="X258" s="671" t="n"/>
      <c r="Y258" s="671" t="n"/>
      <c r="Z258" s="671" t="n"/>
      <c r="AA258" s="699" t="n"/>
      <c r="AB258" s="148" t="n"/>
      <c r="AC258" s="9" t="n"/>
    </row>
    <row r="259" ht="42.6" customHeight="1">
      <c r="B259" s="187">
        <f>IF($E$257=0,1,IF(LEN(E259)&gt;1,1,0))</f>
        <v/>
      </c>
      <c r="C259" s="190">
        <f>IF(B259=0,"*","")</f>
        <v/>
      </c>
      <c r="D259" s="34">
        <f>"Indique la distribución porcentual entre los países mencionados en la pregunta anterior:"</f>
        <v/>
      </c>
      <c r="E259" s="777" t="n"/>
      <c r="F259" s="671" t="n"/>
      <c r="G259" s="671" t="n"/>
      <c r="H259" s="671" t="n"/>
      <c r="I259" s="671" t="n"/>
      <c r="J259" s="671" t="n"/>
      <c r="K259" s="671" t="n"/>
      <c r="L259" s="671" t="n"/>
      <c r="M259" s="671" t="n"/>
      <c r="N259" s="671" t="n"/>
      <c r="O259" s="671" t="n"/>
      <c r="P259" s="671" t="n"/>
      <c r="Q259" s="671" t="n"/>
      <c r="R259" s="671" t="n"/>
      <c r="S259" s="671" t="n"/>
      <c r="T259" s="671" t="n"/>
      <c r="U259" s="671" t="n"/>
      <c r="V259" s="671" t="n"/>
      <c r="W259" s="671" t="n"/>
      <c r="X259" s="671" t="n"/>
      <c r="Y259" s="671" t="n"/>
      <c r="Z259" s="671" t="n"/>
      <c r="AA259" s="699" t="n"/>
      <c r="AB259" s="148" t="n"/>
      <c r="AC259" s="9" t="n"/>
    </row>
    <row r="260">
      <c r="B260" s="187">
        <f>IF($E$257=0,1,IF(LEN(E260)&gt;1,1,0))</f>
        <v/>
      </c>
      <c r="C260" s="190">
        <f>IF(B260=0,"*","")</f>
        <v/>
      </c>
      <c r="D260" s="241" t="inlineStr">
        <is>
          <t>Término de pago a proveedores internacionales:</t>
        </is>
      </c>
      <c r="E260" s="778" t="inlineStr">
        <is>
          <t>Contado</t>
        </is>
      </c>
      <c r="F260" s="671" t="n"/>
      <c r="G260" s="671" t="n"/>
      <c r="H260" s="672" t="n"/>
      <c r="I260" s="779" t="n"/>
      <c r="J260" s="689" t="n"/>
      <c r="K260" s="689" t="n"/>
      <c r="L260" s="689" t="n"/>
      <c r="M260" s="689" t="n"/>
      <c r="N260" s="689" t="n"/>
      <c r="O260" s="689" t="n"/>
      <c r="P260" s="689" t="n"/>
      <c r="Q260" s="689" t="n"/>
      <c r="R260" s="689" t="n"/>
      <c r="S260" s="689" t="n"/>
      <c r="T260" s="689" t="n"/>
      <c r="U260" s="689" t="n"/>
      <c r="V260" s="689" t="n"/>
      <c r="W260" s="689" t="n"/>
      <c r="X260" s="689" t="n"/>
      <c r="Y260" s="689" t="n"/>
      <c r="Z260" s="689" t="n"/>
      <c r="AA260" s="746" t="n"/>
      <c r="AB260" s="148" t="n"/>
      <c r="AC260" s="9" t="n"/>
    </row>
    <row r="261" ht="27" customHeight="1" thickBot="1">
      <c r="B261" s="187">
        <f>IF(OR(E257=0,E260="Contado",E260="Otro"),1,IF(LEN(E261)&gt;0,1,0))</f>
        <v/>
      </c>
      <c r="C261" s="190">
        <f>IF(B261=0,"*","")</f>
        <v/>
      </c>
      <c r="D261" s="242" t="inlineStr">
        <is>
          <t>Máximo días de crédito:</t>
        </is>
      </c>
      <c r="E261" s="780" t="n">
        <v>0</v>
      </c>
      <c r="F261" s="679" t="n"/>
      <c r="G261" s="679" t="n"/>
      <c r="H261" s="680" t="n"/>
      <c r="I261" s="748" t="n"/>
      <c r="J261" s="663" t="n"/>
      <c r="K261" s="663" t="n"/>
      <c r="L261" s="663" t="n"/>
      <c r="M261" s="663" t="n"/>
      <c r="N261" s="663" t="n"/>
      <c r="O261" s="663" t="n"/>
      <c r="P261" s="663" t="n"/>
      <c r="Q261" s="663" t="n"/>
      <c r="R261" s="663" t="n"/>
      <c r="S261" s="663" t="n"/>
      <c r="T261" s="663" t="n"/>
      <c r="U261" s="663" t="n"/>
      <c r="V261" s="663" t="n"/>
      <c r="W261" s="663" t="n"/>
      <c r="X261" s="663" t="n"/>
      <c r="Y261" s="663" t="n"/>
      <c r="Z261" s="663" t="n"/>
      <c r="AA261" s="664" t="n"/>
      <c r="AB261" s="148" t="n"/>
      <c r="AC261" s="9" t="n"/>
    </row>
    <row r="262" ht="29.1" customHeight="1" thickBot="1">
      <c r="B262" s="187" t="n"/>
      <c r="E262" s="60" t="n"/>
      <c r="F262" s="60" t="n"/>
      <c r="G262" s="60" t="n"/>
      <c r="H262" s="60" t="n"/>
      <c r="I262" s="300" t="n"/>
      <c r="J262" s="300" t="n"/>
      <c r="K262" s="300" t="n"/>
      <c r="L262" s="300" t="n"/>
      <c r="M262" s="300" t="n"/>
      <c r="N262" s="300" t="n"/>
      <c r="O262" s="300" t="n"/>
      <c r="P262" s="300" t="n"/>
      <c r="Q262" s="300" t="n"/>
      <c r="R262" s="300" t="n"/>
      <c r="S262" s="300" t="n"/>
      <c r="T262" s="300" t="n"/>
      <c r="U262" s="300" t="n"/>
      <c r="V262" s="300" t="n"/>
      <c r="W262" s="300" t="n"/>
      <c r="X262" s="300" t="n"/>
      <c r="Y262" s="300" t="n"/>
      <c r="Z262" s="300" t="n"/>
      <c r="AA262" s="61" t="n"/>
      <c r="AB262" s="148" t="n"/>
      <c r="AC262" s="9" t="n"/>
    </row>
    <row r="263" ht="31.5" customHeight="1" thickBot="1">
      <c r="B263" s="187" t="n"/>
      <c r="D263" s="480" t="inlineStr">
        <is>
          <t>TOP PROVEEDORES NACIONALES ACTUALES</t>
        </is>
      </c>
      <c r="E263" s="655" t="n"/>
      <c r="F263" s="655" t="n"/>
      <c r="G263" s="655" t="n"/>
      <c r="H263" s="655" t="n"/>
      <c r="I263" s="655" t="n"/>
      <c r="J263" s="655" t="n"/>
      <c r="K263" s="655" t="n"/>
      <c r="L263" s="655" t="n"/>
      <c r="M263" s="655" t="n"/>
      <c r="N263" s="655" t="n"/>
      <c r="O263" s="655" t="n"/>
      <c r="P263" s="655" t="n"/>
      <c r="Q263" s="655" t="n"/>
      <c r="R263" s="655" t="n"/>
      <c r="S263" s="655" t="n"/>
      <c r="T263" s="655" t="n"/>
      <c r="U263" s="655" t="n"/>
      <c r="V263" s="655" t="n"/>
      <c r="W263" s="655" t="n"/>
      <c r="X263" s="655" t="n"/>
      <c r="Y263" s="655" t="n"/>
      <c r="Z263" s="655" t="n"/>
      <c r="AA263" s="666" t="n"/>
      <c r="AB263" s="401" t="n"/>
      <c r="AC263" s="9" t="n"/>
    </row>
    <row r="264">
      <c r="B264" s="187" t="n"/>
      <c r="D264" s="62" t="n"/>
      <c r="E264" s="391" t="inlineStr">
        <is>
          <t>Proveedor 1</t>
        </is>
      </c>
      <c r="F264" s="693" t="n"/>
      <c r="G264" s="693" t="n"/>
      <c r="H264" s="694" t="n"/>
      <c r="I264" s="391" t="inlineStr">
        <is>
          <t>Proveedor 2</t>
        </is>
      </c>
      <c r="J264" s="693" t="n"/>
      <c r="K264" s="693" t="n"/>
      <c r="L264" s="694" t="n"/>
      <c r="M264" s="391" t="inlineStr">
        <is>
          <t>Proveedor 3</t>
        </is>
      </c>
      <c r="N264" s="693" t="n"/>
      <c r="O264" s="693" t="n"/>
      <c r="P264" s="694" t="n"/>
      <c r="Q264" s="391" t="inlineStr">
        <is>
          <t>Proveedor 4</t>
        </is>
      </c>
      <c r="R264" s="693" t="n"/>
      <c r="S264" s="693" t="n"/>
      <c r="T264" s="694" t="n"/>
      <c r="U264" s="391" t="inlineStr">
        <is>
          <t>Proveedor 5</t>
        </is>
      </c>
      <c r="V264" s="693" t="n"/>
      <c r="W264" s="693" t="n"/>
      <c r="X264" s="694" t="n"/>
      <c r="Y264" s="498" t="n"/>
      <c r="Z264" s="29" t="n"/>
      <c r="AA264" s="708" t="n"/>
      <c r="AB264" s="52" t="n"/>
      <c r="AC264" s="9" t="n"/>
    </row>
    <row r="265">
      <c r="B265" s="187">
        <f>IF(LEN(E265)&gt;1,1,0)</f>
        <v/>
      </c>
      <c r="C265" s="190">
        <f>IF(B265=0,"*","")</f>
        <v/>
      </c>
      <c r="D265" s="241" t="inlineStr">
        <is>
          <t>Razón social completa:</t>
        </is>
      </c>
      <c r="E265" s="781" t="inlineStr">
        <is>
          <t>Google Cloud / Google LLC (servicios cloud e IA)</t>
        </is>
      </c>
      <c r="F265" s="671" t="n"/>
      <c r="G265" s="671" t="n"/>
      <c r="H265" s="672" t="n"/>
      <c r="I265" s="781" t="inlineStr">
        <is>
          <t>Hostinger (hosting web)</t>
        </is>
      </c>
      <c r="J265" s="671" t="n"/>
      <c r="K265" s="671" t="n"/>
      <c r="L265" s="672" t="n"/>
      <c r="M265" s="236" t="n"/>
      <c r="N265" s="671" t="n"/>
      <c r="O265" s="671" t="n"/>
      <c r="P265" s="672" t="n"/>
      <c r="Q265" s="236" t="n"/>
      <c r="R265" s="671" t="n"/>
      <c r="S265" s="671" t="n"/>
      <c r="T265" s="672" t="n"/>
      <c r="U265" s="236" t="n"/>
      <c r="V265" s="671" t="n"/>
      <c r="W265" s="671" t="n"/>
      <c r="X265" s="672" t="n"/>
      <c r="Y265" s="707" t="n"/>
      <c r="Z265" s="29" t="n"/>
      <c r="AA265" s="708" t="n"/>
      <c r="AB265" s="52" t="n"/>
      <c r="AC265" s="9" t="n"/>
    </row>
    <row r="266">
      <c r="B266" s="187">
        <f>IF(LEN(E266)&gt;1,1,0)</f>
        <v/>
      </c>
      <c r="C266" s="190">
        <f>IF(B266=0,"*","")</f>
        <v/>
      </c>
      <c r="D266" s="241" t="inlineStr">
        <is>
          <t>Nombre del contacto:</t>
        </is>
      </c>
      <c r="E266" s="781" t="inlineStr">
        <is>
          <t>NA</t>
        </is>
      </c>
      <c r="F266" s="671" t="n"/>
      <c r="G266" s="671" t="n"/>
      <c r="H266" s="672" t="n"/>
      <c r="I266" s="781" t="inlineStr">
        <is>
          <t>NA</t>
        </is>
      </c>
      <c r="J266" s="671" t="n"/>
      <c r="K266" s="671" t="n"/>
      <c r="L266" s="672" t="n"/>
      <c r="M266" s="236" t="n"/>
      <c r="N266" s="671" t="n"/>
      <c r="O266" s="671" t="n"/>
      <c r="P266" s="672" t="n"/>
      <c r="Q266" s="236" t="n"/>
      <c r="R266" s="671" t="n"/>
      <c r="S266" s="671" t="n"/>
      <c r="T266" s="672" t="n"/>
      <c r="U266" s="236" t="n"/>
      <c r="V266" s="671" t="n"/>
      <c r="W266" s="671" t="n"/>
      <c r="X266" s="672" t="n"/>
      <c r="Y266" s="707" t="n"/>
      <c r="Z266" s="29" t="n"/>
      <c r="AA266" s="708" t="n"/>
      <c r="AB266" s="52" t="n"/>
      <c r="AC266" s="9" t="n"/>
    </row>
    <row r="267">
      <c r="B267" s="187">
        <f>IF(LEN(E267)&gt;1,1,0)</f>
        <v/>
      </c>
      <c r="C267" s="190">
        <f>IF(B267=0,"*","")</f>
        <v/>
      </c>
      <c r="D267" s="241" t="inlineStr">
        <is>
          <t>Email del contacto:</t>
        </is>
      </c>
      <c r="E267" s="781" t="inlineStr">
        <is>
          <t>NA</t>
        </is>
      </c>
      <c r="F267" s="671" t="n"/>
      <c r="G267" s="671" t="n"/>
      <c r="H267" s="672" t="n"/>
      <c r="I267" s="781" t="inlineStr">
        <is>
          <t>NA</t>
        </is>
      </c>
      <c r="J267" s="671" t="n"/>
      <c r="K267" s="671" t="n"/>
      <c r="L267" s="672" t="n"/>
      <c r="M267" s="236" t="n"/>
      <c r="N267" s="671" t="n"/>
      <c r="O267" s="671" t="n"/>
      <c r="P267" s="672" t="n"/>
      <c r="Q267" s="236" t="n"/>
      <c r="R267" s="671" t="n"/>
      <c r="S267" s="671" t="n"/>
      <c r="T267" s="672" t="n"/>
      <c r="U267" s="236" t="n"/>
      <c r="V267" s="671" t="n"/>
      <c r="W267" s="671" t="n"/>
      <c r="X267" s="672" t="n"/>
      <c r="Y267" s="707" t="n"/>
      <c r="Z267" s="29" t="n"/>
      <c r="AA267" s="708" t="n"/>
      <c r="AB267" s="52" t="n"/>
      <c r="AC267" s="9" t="n"/>
    </row>
    <row r="268" ht="27" customHeight="1" thickBot="1">
      <c r="B268" s="187">
        <f>IF(LEN(E268)&gt;1,1,0)</f>
        <v/>
      </c>
      <c r="C268" s="190">
        <f>IF(B268=0,"*","")</f>
        <v/>
      </c>
      <c r="D268" s="242" t="inlineStr">
        <is>
          <t>Teléfono de contacto:</t>
        </is>
      </c>
      <c r="E268" s="782" t="inlineStr">
        <is>
          <t>NA</t>
        </is>
      </c>
      <c r="F268" s="679" t="n"/>
      <c r="G268" s="679" t="n"/>
      <c r="H268" s="680" t="n"/>
      <c r="I268" s="782" t="inlineStr">
        <is>
          <t>NA</t>
        </is>
      </c>
      <c r="J268" s="679" t="n"/>
      <c r="K268" s="679" t="n"/>
      <c r="L268" s="680" t="n"/>
      <c r="M268" s="215" t="n"/>
      <c r="N268" s="679" t="n"/>
      <c r="O268" s="679" t="n"/>
      <c r="P268" s="680" t="n"/>
      <c r="Q268" s="215" t="n"/>
      <c r="R268" s="679" t="n"/>
      <c r="S268" s="679" t="n"/>
      <c r="T268" s="680" t="n"/>
      <c r="U268" s="215" t="n"/>
      <c r="V268" s="679" t="n"/>
      <c r="W268" s="679" t="n"/>
      <c r="X268" s="680" t="n"/>
      <c r="Y268" s="692" t="n"/>
      <c r="Z268" s="693" t="n"/>
      <c r="AA268" s="694" t="n"/>
      <c r="AB268" s="52" t="n"/>
      <c r="AC268" s="9" t="n"/>
    </row>
    <row r="269" ht="24.9" customHeight="1" thickBot="1">
      <c r="B269" s="187" t="n"/>
      <c r="D269" s="326" t="n"/>
      <c r="E269" s="29" t="n"/>
      <c r="F269" s="29" t="n"/>
      <c r="G269" s="29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29" t="n"/>
      <c r="R269" s="29" t="n"/>
      <c r="S269" s="29" t="n"/>
      <c r="T269" s="29" t="n"/>
      <c r="U269" s="29" t="n"/>
      <c r="V269" s="29" t="n"/>
      <c r="W269" s="29" t="n"/>
      <c r="X269" s="29" t="n"/>
      <c r="Y269" s="29" t="n"/>
      <c r="Z269" s="29" t="n"/>
      <c r="AA269" s="29" t="n"/>
      <c r="AB269" s="326" t="n"/>
      <c r="AC269" s="9" t="n"/>
    </row>
    <row r="270" ht="41.1" customHeight="1" thickBot="1">
      <c r="B270" s="187" t="n"/>
      <c r="D270" s="654" t="inlineStr">
        <is>
          <t>VEHICULOS Y EQUIPO</t>
        </is>
      </c>
      <c r="E270" s="655" t="n"/>
      <c r="F270" s="655" t="n"/>
      <c r="G270" s="655" t="n"/>
      <c r="H270" s="655" t="n"/>
      <c r="I270" s="655" t="n"/>
      <c r="J270" s="655" t="n"/>
      <c r="K270" s="655" t="n"/>
      <c r="L270" s="655" t="n"/>
      <c r="M270" s="655" t="n"/>
      <c r="N270" s="655" t="n"/>
      <c r="O270" s="655" t="n"/>
      <c r="P270" s="655" t="n"/>
      <c r="Q270" s="655" t="n"/>
      <c r="R270" s="655" t="n"/>
      <c r="S270" s="655" t="n"/>
      <c r="T270" s="655" t="n"/>
      <c r="U270" s="655" t="n"/>
      <c r="V270" s="655" t="n"/>
      <c r="W270" s="655" t="n"/>
      <c r="X270" s="655" t="n"/>
      <c r="Y270" s="655" t="n"/>
      <c r="Z270" s="655" t="n"/>
      <c r="AA270" s="656" t="n"/>
      <c r="AB270" s="401" t="n"/>
      <c r="AC270" s="9" t="n"/>
    </row>
    <row r="271" ht="41.1" customHeight="1">
      <c r="B271" s="187" t="n"/>
      <c r="D271" s="62" t="n"/>
      <c r="E271" s="240" t="inlineStr">
        <is>
          <t>Vehículo 1</t>
        </is>
      </c>
      <c r="F271" s="693" t="n"/>
      <c r="G271" s="693" t="n"/>
      <c r="H271" s="694" t="n"/>
      <c r="I271" s="240" t="inlineStr">
        <is>
          <t>Vehículo 2</t>
        </is>
      </c>
      <c r="J271" s="693" t="n"/>
      <c r="K271" s="693" t="n"/>
      <c r="L271" s="694" t="n"/>
      <c r="M271" s="240" t="inlineStr">
        <is>
          <t>Vehículo 3</t>
        </is>
      </c>
      <c r="N271" s="693" t="n"/>
      <c r="O271" s="693" t="n"/>
      <c r="P271" s="694" t="n"/>
      <c r="Q271" s="240" t="inlineStr">
        <is>
          <t>Vehículo 4</t>
        </is>
      </c>
      <c r="R271" s="693" t="n"/>
      <c r="S271" s="693" t="n"/>
      <c r="T271" s="694" t="n"/>
      <c r="U271" s="240" t="inlineStr">
        <is>
          <t>Vehículo 5</t>
        </is>
      </c>
      <c r="V271" s="693" t="n"/>
      <c r="W271" s="693" t="n"/>
      <c r="X271" s="694" t="n"/>
      <c r="Y271" s="463" t="inlineStr">
        <is>
          <t>Vehículos 
adicionales</t>
        </is>
      </c>
      <c r="Z271" s="693" t="n"/>
      <c r="AA271" s="694" t="n"/>
      <c r="AB271" s="149" t="n"/>
      <c r="AC271" s="9" t="n"/>
    </row>
    <row r="272" ht="41.4" customHeight="1">
      <c r="B272" s="187">
        <f>IF(LEN(E272)&gt;1,1,0)</f>
        <v/>
      </c>
      <c r="C272" s="190">
        <f>IF(B272=0,"*","")</f>
        <v/>
      </c>
      <c r="D272" s="34" t="inlineStr">
        <is>
          <t>Vehículos:
(Describa marca, modelo y número de unidades)</t>
        </is>
      </c>
      <c r="E272" s="783" t="inlineStr">
        <is>
          <t>NA</t>
        </is>
      </c>
      <c r="F272" s="671" t="n"/>
      <c r="G272" s="671" t="n"/>
      <c r="H272" s="672" t="n"/>
      <c r="I272" s="237" t="n"/>
      <c r="J272" s="671" t="n"/>
      <c r="K272" s="671" t="n"/>
      <c r="L272" s="672" t="n"/>
      <c r="M272" s="237" t="n"/>
      <c r="N272" s="671" t="n"/>
      <c r="O272" s="671" t="n"/>
      <c r="P272" s="672" t="n"/>
      <c r="Q272" s="237" t="n"/>
      <c r="R272" s="671" t="n"/>
      <c r="S272" s="671" t="n"/>
      <c r="T272" s="672" t="n"/>
      <c r="U272" s="237" t="n"/>
      <c r="V272" s="671" t="n"/>
      <c r="W272" s="671" t="n"/>
      <c r="X272" s="672" t="n"/>
      <c r="Y272" s="784" t="n"/>
      <c r="Z272" s="674" t="n"/>
      <c r="AA272" s="675" t="n"/>
      <c r="AB272" s="94" t="n"/>
      <c r="AC272" s="9" t="n"/>
    </row>
    <row r="273" ht="30" customHeight="1">
      <c r="B273" s="187">
        <f>IF(LEN(E273)&gt;1,1,0)</f>
        <v/>
      </c>
      <c r="C273" s="190">
        <f>IF(B273=0,"*","")</f>
        <v/>
      </c>
      <c r="D273" s="241" t="inlineStr">
        <is>
          <t>¿Propio o arrendado?</t>
        </is>
      </c>
      <c r="E273" s="783" t="inlineStr">
        <is>
          <t>NA</t>
        </is>
      </c>
      <c r="F273" s="671" t="n"/>
      <c r="G273" s="671" t="n"/>
      <c r="H273" s="672" t="n"/>
      <c r="I273" s="237" t="n"/>
      <c r="J273" s="671" t="n"/>
      <c r="K273" s="671" t="n"/>
      <c r="L273" s="672" t="n"/>
      <c r="M273" s="237" t="n"/>
      <c r="N273" s="671" t="n"/>
      <c r="O273" s="671" t="n"/>
      <c r="P273" s="672" t="n"/>
      <c r="Q273" s="237" t="n"/>
      <c r="R273" s="671" t="n"/>
      <c r="S273" s="671" t="n"/>
      <c r="T273" s="672" t="n"/>
      <c r="U273" s="237" t="n"/>
      <c r="V273" s="671" t="n"/>
      <c r="W273" s="671" t="n"/>
      <c r="X273" s="672" t="n"/>
      <c r="Y273" s="730" t="n"/>
      <c r="Z273" s="668" t="n"/>
      <c r="AA273" s="724" t="n"/>
      <c r="AB273" s="94" t="n"/>
      <c r="AC273" s="9" t="n"/>
    </row>
    <row r="274" ht="40.5" customHeight="1">
      <c r="B274" s="187" t="n"/>
      <c r="D274" s="460" t="n"/>
      <c r="E274" s="773" t="n"/>
      <c r="F274" s="773" t="n"/>
      <c r="G274" s="773" t="n"/>
      <c r="H274" s="773" t="n"/>
      <c r="I274" s="773" t="n"/>
      <c r="J274" s="773" t="n"/>
      <c r="K274" s="773" t="n"/>
      <c r="L274" s="773" t="n"/>
      <c r="M274" s="773" t="n"/>
      <c r="N274" s="773" t="n"/>
      <c r="O274" s="773" t="n"/>
      <c r="P274" s="773" t="n"/>
      <c r="Q274" s="773" t="n"/>
      <c r="R274" s="773" t="n"/>
      <c r="S274" s="773" t="n"/>
      <c r="T274" s="773" t="n"/>
      <c r="U274" s="773" t="n"/>
      <c r="V274" s="773" t="n"/>
      <c r="W274" s="773" t="n"/>
      <c r="X274" s="773" t="n"/>
      <c r="Y274" s="773" t="n"/>
      <c r="Z274" s="773" t="n"/>
      <c r="AA274" s="774" t="n"/>
      <c r="AB274" s="326" t="n"/>
      <c r="AC274" s="9" t="n"/>
    </row>
    <row r="275" ht="26.1" customHeight="1">
      <c r="B275" s="187">
        <f>IF(LEN(E275)&gt;1,1,0)</f>
        <v/>
      </c>
      <c r="C275" s="331">
        <f>IF(B275=0,"*","")</f>
        <v/>
      </c>
      <c r="D275" s="241" t="inlineStr">
        <is>
          <t>Mobiliario y equipo de oficina:</t>
        </is>
      </c>
      <c r="E275" s="785" t="inlineStr">
        <is>
          <t>Notebook y equipo de oficina personal</t>
        </is>
      </c>
      <c r="F275" s="674" t="n"/>
      <c r="G275" s="674" t="n"/>
      <c r="H275" s="674" t="n"/>
      <c r="I275" s="674" t="n"/>
      <c r="J275" s="674" t="n"/>
      <c r="K275" s="674" t="n"/>
      <c r="L275" s="674" t="n"/>
      <c r="M275" s="674" t="n"/>
      <c r="N275" s="674" t="n"/>
      <c r="O275" s="674" t="n"/>
      <c r="P275" s="674" t="n"/>
      <c r="Q275" s="674" t="n"/>
      <c r="R275" s="674" t="n"/>
      <c r="S275" s="674" t="n"/>
      <c r="T275" s="674" t="n"/>
      <c r="U275" s="674" t="n"/>
      <c r="V275" s="674" t="n"/>
      <c r="W275" s="674" t="n"/>
      <c r="X275" s="674" t="n"/>
      <c r="Y275" s="674" t="n"/>
      <c r="Z275" s="674" t="n"/>
      <c r="AA275" s="726" t="n"/>
      <c r="AB275" s="587" t="n"/>
      <c r="AC275" s="9" t="n"/>
    </row>
    <row r="276" ht="36.9" customHeight="1">
      <c r="B276" s="187" t="n"/>
      <c r="C276" s="661" t="n"/>
      <c r="D276" s="786" t="n"/>
      <c r="E276" s="730" t="n"/>
      <c r="F276" s="668" t="n"/>
      <c r="G276" s="668" t="n"/>
      <c r="H276" s="668" t="n"/>
      <c r="I276" s="668" t="n"/>
      <c r="J276" s="668" t="n"/>
      <c r="K276" s="668" t="n"/>
      <c r="L276" s="668" t="n"/>
      <c r="M276" s="668" t="n"/>
      <c r="N276" s="668" t="n"/>
      <c r="O276" s="668" t="n"/>
      <c r="P276" s="668" t="n"/>
      <c r="Q276" s="668" t="n"/>
      <c r="R276" s="668" t="n"/>
      <c r="S276" s="668" t="n"/>
      <c r="T276" s="668" t="n"/>
      <c r="U276" s="668" t="n"/>
      <c r="V276" s="668" t="n"/>
      <c r="W276" s="668" t="n"/>
      <c r="X276" s="668" t="n"/>
      <c r="Y276" s="668" t="n"/>
      <c r="Z276" s="668" t="n"/>
      <c r="AA276" s="669" t="n"/>
      <c r="AB276" s="587" t="n"/>
      <c r="AC276" s="9" t="n"/>
    </row>
    <row r="277" ht="26.1" customHeight="1">
      <c r="B277" s="187">
        <f>IF(LEN(E277)&gt;1,1,0)</f>
        <v/>
      </c>
      <c r="C277" s="331">
        <f>IF(B277=0,"*","")</f>
        <v/>
      </c>
      <c r="D277" s="241" t="inlineStr">
        <is>
          <t>Equipo y maquinaria especializada:</t>
        </is>
      </c>
      <c r="E277" s="785" t="inlineStr">
        <is>
          <t>NA</t>
        </is>
      </c>
      <c r="F277" s="674" t="n"/>
      <c r="G277" s="674" t="n"/>
      <c r="H277" s="674" t="n"/>
      <c r="I277" s="674" t="n"/>
      <c r="J277" s="674" t="n"/>
      <c r="K277" s="674" t="n"/>
      <c r="L277" s="674" t="n"/>
      <c r="M277" s="674" t="n"/>
      <c r="N277" s="674" t="n"/>
      <c r="O277" s="674" t="n"/>
      <c r="P277" s="674" t="n"/>
      <c r="Q277" s="674" t="n"/>
      <c r="R277" s="674" t="n"/>
      <c r="S277" s="674" t="n"/>
      <c r="T277" s="674" t="n"/>
      <c r="U277" s="674" t="n"/>
      <c r="V277" s="674" t="n"/>
      <c r="W277" s="674" t="n"/>
      <c r="X277" s="674" t="n"/>
      <c r="Y277" s="674" t="n"/>
      <c r="Z277" s="674" t="n"/>
      <c r="AA277" s="726" t="n"/>
      <c r="AB277" s="587" t="n"/>
      <c r="AC277" s="9" t="n"/>
    </row>
    <row r="278" ht="35.4" customHeight="1" thickBot="1">
      <c r="B278" s="187" t="n"/>
      <c r="C278" s="661" t="n"/>
      <c r="D278" s="786" t="n"/>
      <c r="E278" s="730" t="n"/>
      <c r="F278" s="668" t="n"/>
      <c r="G278" s="668" t="n"/>
      <c r="H278" s="668" t="n"/>
      <c r="I278" s="668" t="n"/>
      <c r="J278" s="668" t="n"/>
      <c r="K278" s="668" t="n"/>
      <c r="L278" s="668" t="n"/>
      <c r="M278" s="668" t="n"/>
      <c r="N278" s="668" t="n"/>
      <c r="O278" s="668" t="n"/>
      <c r="P278" s="668" t="n"/>
      <c r="Q278" s="668" t="n"/>
      <c r="R278" s="668" t="n"/>
      <c r="S278" s="668" t="n"/>
      <c r="T278" s="668" t="n"/>
      <c r="U278" s="668" t="n"/>
      <c r="V278" s="668" t="n"/>
      <c r="W278" s="668" t="n"/>
      <c r="X278" s="668" t="n"/>
      <c r="Y278" s="668" t="n"/>
      <c r="Z278" s="668" t="n"/>
      <c r="AA278" s="669" t="n"/>
      <c r="AB278" s="587" t="n"/>
      <c r="AC278" s="9" t="n"/>
    </row>
    <row r="279" ht="35.4" customHeight="1" thickBot="1">
      <c r="B279" s="187" t="n"/>
      <c r="E279" s="624" t="n"/>
      <c r="F279" s="624" t="n"/>
      <c r="G279" s="624" t="n"/>
      <c r="H279" s="624" t="n"/>
      <c r="I279" s="624" t="n"/>
      <c r="J279" s="624" t="n"/>
      <c r="K279" s="624" t="n"/>
      <c r="L279" s="624" t="n"/>
      <c r="M279" s="624" t="n"/>
      <c r="N279" s="624" t="n"/>
      <c r="O279" s="624" t="n"/>
      <c r="P279" s="624" t="n"/>
      <c r="Q279" s="624" t="n"/>
      <c r="R279" s="624" t="n"/>
      <c r="S279" s="624" t="n"/>
      <c r="T279" s="624" t="n"/>
      <c r="U279" s="624" t="n"/>
      <c r="V279" s="624" t="n"/>
      <c r="W279" s="624" t="n"/>
      <c r="X279" s="624" t="n"/>
      <c r="Y279" s="624" t="n"/>
      <c r="Z279" s="624" t="n"/>
      <c r="AA279" s="624" t="n"/>
      <c r="AB279" s="624" t="n"/>
      <c r="AC279" s="9" t="n"/>
    </row>
    <row r="280" ht="44.4" customHeight="1" thickBot="1">
      <c r="B280" s="187" t="n"/>
      <c r="D280" s="480" t="inlineStr">
        <is>
          <t>EMPLEADOS</t>
        </is>
      </c>
      <c r="E280" s="655" t="n"/>
      <c r="F280" s="655" t="n"/>
      <c r="G280" s="655" t="n"/>
      <c r="H280" s="655" t="n"/>
      <c r="I280" s="655" t="n"/>
      <c r="J280" s="655" t="n"/>
      <c r="K280" s="655" t="n"/>
      <c r="L280" s="655" t="n"/>
      <c r="M280" s="655" t="n"/>
      <c r="N280" s="655" t="n"/>
      <c r="O280" s="655" t="n"/>
      <c r="P280" s="655" t="n"/>
      <c r="Q280" s="655" t="n"/>
      <c r="R280" s="655" t="n"/>
      <c r="S280" s="655" t="n"/>
      <c r="T280" s="655" t="n"/>
      <c r="U280" s="655" t="n"/>
      <c r="V280" s="655" t="n"/>
      <c r="W280" s="655" t="n"/>
      <c r="X280" s="655" t="n"/>
      <c r="Y280" s="655" t="n"/>
      <c r="Z280" s="655" t="n"/>
      <c r="AA280" s="666" t="n"/>
      <c r="AB280" s="401" t="n"/>
      <c r="AC280" s="9" t="n"/>
    </row>
    <row r="281" ht="26.1" customHeight="1" thickBot="1">
      <c r="B281" s="187" t="n"/>
      <c r="D281" s="456" t="inlineStr">
        <is>
          <t>Distribución del personal por áreas</t>
        </is>
      </c>
      <c r="E281" s="655" t="n"/>
      <c r="F281" s="655" t="n"/>
      <c r="G281" s="655" t="n"/>
      <c r="H281" s="666" t="n"/>
      <c r="I281" s="451" t="n"/>
      <c r="J281" s="689" t="n"/>
      <c r="K281" s="689" t="n"/>
      <c r="L281" s="689" t="n"/>
      <c r="M281" s="689" t="n"/>
      <c r="N281" s="689" t="n"/>
      <c r="O281" s="689" t="n"/>
      <c r="P281" s="689" t="n"/>
      <c r="Q281" s="689" t="n"/>
      <c r="R281" s="689" t="n"/>
      <c r="S281" s="689" t="n"/>
      <c r="T281" s="689" t="n"/>
      <c r="U281" s="689" t="n"/>
      <c r="V281" s="689" t="n"/>
      <c r="W281" s="689" t="n"/>
      <c r="X281" s="689" t="n"/>
      <c r="Y281" s="689" t="n"/>
      <c r="Z281" s="689" t="n"/>
      <c r="AA281" s="690" t="n"/>
      <c r="AB281" s="624" t="n"/>
      <c r="AC281" s="9" t="n"/>
    </row>
    <row r="282">
      <c r="B282" s="187">
        <f>IF(SUM(E282:H286)&gt;0,1,0)</f>
        <v/>
      </c>
      <c r="C282" s="190">
        <f>IF(B282=0,"*","")</f>
        <v/>
      </c>
      <c r="D282" s="63" t="inlineStr">
        <is>
          <t xml:space="preserve">Oficina: </t>
        </is>
      </c>
      <c r="E282" s="787" t="n">
        <v>1</v>
      </c>
      <c r="F282" s="668" t="n"/>
      <c r="G282" s="668" t="n"/>
      <c r="H282" s="66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29" t="n"/>
      <c r="R282" s="29" t="n"/>
      <c r="S282" s="29" t="n"/>
      <c r="T282" s="29" t="n"/>
      <c r="U282" s="29" t="n"/>
      <c r="V282" s="29" t="n"/>
      <c r="W282" s="29" t="n"/>
      <c r="X282" s="29" t="n"/>
      <c r="Y282" s="29" t="n"/>
      <c r="Z282" s="29" t="n"/>
      <c r="AA282" s="708" t="n"/>
      <c r="AB282" s="624" t="n"/>
      <c r="AC282" s="9" t="n"/>
    </row>
    <row r="283">
      <c r="B283" s="187" t="n"/>
      <c r="D283" s="64" t="inlineStr">
        <is>
          <t>Ventas:</t>
        </is>
      </c>
      <c r="E283" s="788" t="n">
        <v>0</v>
      </c>
      <c r="F283" s="671" t="n"/>
      <c r="G283" s="671" t="n"/>
      <c r="H283" s="672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29" t="n"/>
      <c r="R283" s="29" t="n"/>
      <c r="S283" s="29" t="n"/>
      <c r="T283" s="29" t="n"/>
      <c r="U283" s="29" t="n"/>
      <c r="V283" s="29" t="n"/>
      <c r="W283" s="29" t="n"/>
      <c r="X283" s="29" t="n"/>
      <c r="Y283" s="29" t="n"/>
      <c r="Z283" s="29" t="n"/>
      <c r="AA283" s="708" t="n"/>
      <c r="AB283" s="624" t="n"/>
      <c r="AC283" s="9" t="n"/>
    </row>
    <row r="284">
      <c r="B284" s="187" t="n"/>
      <c r="D284" s="64" t="inlineStr">
        <is>
          <t>Obreros:</t>
        </is>
      </c>
      <c r="E284" s="788" t="n">
        <v>0</v>
      </c>
      <c r="F284" s="671" t="n"/>
      <c r="G284" s="671" t="n"/>
      <c r="H284" s="672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29" t="n"/>
      <c r="R284" s="29" t="n"/>
      <c r="S284" s="29" t="n"/>
      <c r="T284" s="29" t="n"/>
      <c r="U284" s="29" t="n"/>
      <c r="V284" s="29" t="n"/>
      <c r="W284" s="29" t="n"/>
      <c r="X284" s="29" t="n"/>
      <c r="Y284" s="29" t="n"/>
      <c r="Z284" s="29" t="n"/>
      <c r="AA284" s="708" t="n"/>
      <c r="AB284" s="624" t="n"/>
      <c r="AC284" s="9" t="n"/>
    </row>
    <row r="285">
      <c r="B285" s="187" t="n"/>
      <c r="D285" s="64" t="inlineStr">
        <is>
          <t>Depósito:</t>
        </is>
      </c>
      <c r="E285" s="788" t="n">
        <v>0</v>
      </c>
      <c r="F285" s="671" t="n"/>
      <c r="G285" s="671" t="n"/>
      <c r="H285" s="672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29" t="n"/>
      <c r="R285" s="29" t="n"/>
      <c r="S285" s="29" t="n"/>
      <c r="T285" s="29" t="n"/>
      <c r="U285" s="29" t="n"/>
      <c r="V285" s="29" t="n"/>
      <c r="W285" s="29" t="n"/>
      <c r="X285" s="29" t="n"/>
      <c r="Y285" s="29" t="n"/>
      <c r="Z285" s="29" t="n"/>
      <c r="AA285" s="708" t="n"/>
      <c r="AB285" s="624" t="n"/>
      <c r="AC285" s="9" t="n"/>
    </row>
    <row r="286">
      <c r="B286" s="187" t="n"/>
      <c r="D286" s="64" t="inlineStr">
        <is>
          <t>Otros:</t>
        </is>
      </c>
      <c r="E286" s="788" t="n">
        <v>0</v>
      </c>
      <c r="F286" s="671" t="n"/>
      <c r="G286" s="671" t="n"/>
      <c r="H286" s="672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29" t="n"/>
      <c r="R286" s="29" t="n"/>
      <c r="S286" s="29" t="n"/>
      <c r="T286" s="29" t="n"/>
      <c r="U286" s="29" t="n"/>
      <c r="V286" s="29" t="n"/>
      <c r="W286" s="29" t="n"/>
      <c r="X286" s="29" t="n"/>
      <c r="Y286" s="29" t="n"/>
      <c r="Z286" s="29" t="n"/>
      <c r="AA286" s="708" t="n"/>
      <c r="AB286" s="624" t="n"/>
      <c r="AC286" s="9" t="n"/>
    </row>
    <row r="287" ht="42" customHeight="1">
      <c r="B287" s="187" t="n"/>
      <c r="D287" s="34" t="inlineStr">
        <is>
          <t>Número total personas que trabajan directamente para esta compañía:</t>
        </is>
      </c>
      <c r="E287" s="789">
        <f>SUM(E282:H286)</f>
        <v/>
      </c>
      <c r="F287" s="773" t="n"/>
      <c r="G287" s="773" t="n"/>
      <c r="H287" s="774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29" t="n"/>
      <c r="R287" s="29" t="n"/>
      <c r="S287" s="29" t="n"/>
      <c r="T287" s="29" t="n"/>
      <c r="U287" s="29" t="n"/>
      <c r="V287" s="29" t="n"/>
      <c r="W287" s="29" t="n"/>
      <c r="X287" s="29" t="n"/>
      <c r="Y287" s="29" t="n"/>
      <c r="Z287" s="29" t="n"/>
      <c r="AA287" s="708" t="n"/>
      <c r="AB287" s="624" t="n"/>
      <c r="AC287" s="9" t="n"/>
    </row>
    <row r="288" ht="69.59999999999999" customHeight="1">
      <c r="B288" s="187">
        <f>IF(LEN(E288)&gt;1,1,0)</f>
        <v/>
      </c>
      <c r="C288" s="190">
        <f>IF(B288=0,"*","")</f>
        <v/>
      </c>
      <c r="D288" s="34" t="inlineStr">
        <is>
          <t xml:space="preserve">No. de empleados registrados ante el seguro social: </t>
        </is>
      </c>
      <c r="E288" s="788" t="n">
        <v>0</v>
      </c>
      <c r="F288" s="671" t="n"/>
      <c r="G288" s="671" t="n"/>
      <c r="H288" s="672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29" t="n"/>
      <c r="R288" s="29" t="n"/>
      <c r="S288" s="29" t="n"/>
      <c r="T288" s="29" t="n"/>
      <c r="U288" s="29" t="n"/>
      <c r="V288" s="29" t="n"/>
      <c r="W288" s="29" t="n"/>
      <c r="X288" s="29" t="n"/>
      <c r="Y288" s="29" t="n"/>
      <c r="Z288" s="29" t="n"/>
      <c r="AA288" s="708" t="n"/>
      <c r="AB288" s="624" t="n"/>
      <c r="AC288" s="9" t="n"/>
    </row>
    <row r="289" ht="31.2" customHeight="1">
      <c r="B289" s="187">
        <f>IF(LEN(E289)&gt;1,1,0)</f>
        <v/>
      </c>
      <c r="C289" s="190">
        <f>IF(B289=0,"*","")</f>
        <v/>
      </c>
      <c r="D289" s="34" t="inlineStr">
        <is>
          <t xml:space="preserve">¿Cuenta con empleados contratadas por honorarios? </t>
        </is>
      </c>
      <c r="E289" s="788" t="inlineStr">
        <is>
          <t>No</t>
        </is>
      </c>
      <c r="F289" s="671" t="n"/>
      <c r="G289" s="671" t="n"/>
      <c r="H289" s="672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29" t="n"/>
      <c r="R289" s="29" t="n"/>
      <c r="S289" s="29" t="n"/>
      <c r="T289" s="29" t="n"/>
      <c r="U289" s="29" t="n"/>
      <c r="V289" s="29" t="n"/>
      <c r="W289" s="29" t="n"/>
      <c r="X289" s="29" t="n"/>
      <c r="Y289" s="29" t="n"/>
      <c r="Z289" s="29" t="n"/>
      <c r="AA289" s="708" t="n"/>
      <c r="AB289" s="624" t="n"/>
      <c r="AC289" s="9" t="n"/>
    </row>
    <row r="290">
      <c r="B290" s="187">
        <f>IF(OR(E289="No",LEN(E289)&lt;1),1,IF(LEN(E290)&gt;0,1,0))</f>
        <v/>
      </c>
      <c r="C290" s="190">
        <f>IF(B290=0,"*","")</f>
        <v/>
      </c>
      <c r="D290" s="241">
        <f>IF(OR(E289="No",LEN(E289)&lt;1),"","No. de personas por honorarios:")</f>
        <v/>
      </c>
      <c r="E290" s="239" t="n"/>
      <c r="F290" s="671" t="n"/>
      <c r="G290" s="671" t="n"/>
      <c r="H290" s="672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29" t="n"/>
      <c r="R290" s="29" t="n"/>
      <c r="S290" s="29" t="n"/>
      <c r="T290" s="29" t="n"/>
      <c r="U290" s="29" t="n"/>
      <c r="V290" s="29" t="n"/>
      <c r="W290" s="29" t="n"/>
      <c r="X290" s="29" t="n"/>
      <c r="Y290" s="29" t="n"/>
      <c r="Z290" s="29" t="n"/>
      <c r="AA290" s="708" t="n"/>
      <c r="AB290" s="624" t="n"/>
      <c r="AC290" s="9" t="n"/>
    </row>
    <row r="291" ht="31.2" customHeight="1">
      <c r="B291" s="187">
        <f>IF(LEN(E291)&gt;1,1,0)</f>
        <v/>
      </c>
      <c r="C291" s="190">
        <f>IF(B291=0,"*","")</f>
        <v/>
      </c>
      <c r="D291" s="34" t="inlineStr">
        <is>
          <t xml:space="preserve">¿Cuenta con empleados contratados por outsourcing? </t>
        </is>
      </c>
      <c r="E291" s="788" t="inlineStr">
        <is>
          <t>No</t>
        </is>
      </c>
      <c r="F291" s="671" t="n"/>
      <c r="G291" s="671" t="n"/>
      <c r="H291" s="672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29" t="n"/>
      <c r="R291" s="29" t="n"/>
      <c r="S291" s="29" t="n"/>
      <c r="T291" s="29" t="n"/>
      <c r="U291" s="29" t="n"/>
      <c r="V291" s="29" t="n"/>
      <c r="W291" s="29" t="n"/>
      <c r="X291" s="29" t="n"/>
      <c r="Y291" s="29" t="n"/>
      <c r="Z291" s="29" t="n"/>
      <c r="AA291" s="708" t="n"/>
      <c r="AB291" s="624" t="n"/>
      <c r="AC291" s="9" t="n"/>
    </row>
    <row r="292">
      <c r="B292" s="187">
        <f>IF(OR(E291="No",LEN(E291)&lt;1),1,IF(LEN(E292)&gt;0,1,0))</f>
        <v/>
      </c>
      <c r="C292" s="190">
        <f>IF(B292=0,"*","")</f>
        <v/>
      </c>
      <c r="D292" s="241">
        <f>IF(OR(E291="No",LEN(E291)&lt;1),"","No. de personas por outsourcing:")</f>
        <v/>
      </c>
      <c r="E292" s="239" t="n"/>
      <c r="F292" s="671" t="n"/>
      <c r="G292" s="671" t="n"/>
      <c r="H292" s="672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29" t="n"/>
      <c r="R292" s="29" t="n"/>
      <c r="S292" s="29" t="n"/>
      <c r="T292" s="29" t="n"/>
      <c r="U292" s="29" t="n"/>
      <c r="V292" s="29" t="n"/>
      <c r="W292" s="29" t="n"/>
      <c r="X292" s="29" t="n"/>
      <c r="Y292" s="29" t="n"/>
      <c r="Z292" s="29" t="n"/>
      <c r="AA292" s="708" t="n"/>
      <c r="AB292" s="624" t="n"/>
      <c r="AC292" s="9" t="n"/>
    </row>
    <row r="293" ht="27" customHeight="1" thickBot="1">
      <c r="B293" s="187">
        <f>IF(OR(E291="No",LEN(E291)&lt;1),1,IF(LEN(E293)&gt;1,1,0))</f>
        <v/>
      </c>
      <c r="C293" s="190">
        <f>IF(B293=0,"*","")</f>
        <v/>
      </c>
      <c r="D293" s="242">
        <f>IF(OR(E291="No",LEN(E291)&lt;1),"","Nombre de la compañía:")</f>
        <v/>
      </c>
      <c r="E293" s="450" t="n"/>
      <c r="F293" s="679" t="n"/>
      <c r="G293" s="679" t="n"/>
      <c r="H293" s="680" t="n"/>
      <c r="I293" s="693" t="n"/>
      <c r="J293" s="693" t="n"/>
      <c r="K293" s="693" t="n"/>
      <c r="L293" s="693" t="n"/>
      <c r="M293" s="693" t="n"/>
      <c r="N293" s="693" t="n"/>
      <c r="O293" s="693" t="n"/>
      <c r="P293" s="693" t="n"/>
      <c r="Q293" s="693" t="n"/>
      <c r="R293" s="693" t="n"/>
      <c r="S293" s="693" t="n"/>
      <c r="T293" s="693" t="n"/>
      <c r="U293" s="693" t="n"/>
      <c r="V293" s="693" t="n"/>
      <c r="W293" s="693" t="n"/>
      <c r="X293" s="693" t="n"/>
      <c r="Y293" s="693" t="n"/>
      <c r="Z293" s="693" t="n"/>
      <c r="AA293" s="694" t="n"/>
      <c r="AB293" s="624" t="n"/>
      <c r="AC293" s="9" t="n"/>
    </row>
    <row r="294" ht="27" customHeight="1" thickBot="1">
      <c r="B294" s="187" t="n"/>
      <c r="D294" s="65" t="n"/>
      <c r="E294" s="66" t="n"/>
      <c r="F294" s="66" t="n"/>
      <c r="G294" s="66" t="n"/>
      <c r="H294" s="66" t="n"/>
      <c r="I294" s="624" t="n"/>
      <c r="J294" s="624" t="n"/>
      <c r="K294" s="624" t="n"/>
      <c r="L294" s="624" t="n"/>
      <c r="M294" s="624" t="n"/>
      <c r="N294" s="624" t="n"/>
      <c r="O294" s="624" t="n"/>
      <c r="P294" s="624" t="n"/>
      <c r="Q294" s="624" t="n"/>
      <c r="R294" s="624" t="n"/>
      <c r="S294" s="624" t="n"/>
      <c r="T294" s="624" t="n"/>
      <c r="U294" s="624" t="n"/>
      <c r="V294" s="624" t="n"/>
      <c r="W294" s="624" t="n"/>
      <c r="X294" s="624" t="n"/>
      <c r="Y294" s="624" t="n"/>
      <c r="Z294" s="624" t="n"/>
      <c r="AA294" s="624" t="n"/>
      <c r="AB294" s="624" t="n"/>
      <c r="AC294" s="9" t="n"/>
    </row>
    <row r="295" ht="39.6" customHeight="1" thickBot="1">
      <c r="B295" s="187" t="n"/>
      <c r="D295" s="654" t="inlineStr">
        <is>
          <t>CERTIFICADOS DE CALIDAD</t>
        </is>
      </c>
      <c r="E295" s="655" t="n"/>
      <c r="F295" s="655" t="n"/>
      <c r="G295" s="655" t="n"/>
      <c r="H295" s="655" t="n"/>
      <c r="I295" s="655" t="n"/>
      <c r="J295" s="655" t="n"/>
      <c r="K295" s="655" t="n"/>
      <c r="L295" s="655" t="n"/>
      <c r="M295" s="655" t="n"/>
      <c r="N295" s="655" t="n"/>
      <c r="O295" s="655" t="n"/>
      <c r="P295" s="655" t="n"/>
      <c r="Q295" s="655" t="n"/>
      <c r="R295" s="655" t="n"/>
      <c r="S295" s="655" t="n"/>
      <c r="T295" s="655" t="n"/>
      <c r="U295" s="655" t="n"/>
      <c r="V295" s="655" t="n"/>
      <c r="W295" s="655" t="n"/>
      <c r="X295" s="655" t="n"/>
      <c r="Y295" s="655" t="n"/>
      <c r="Z295" s="655" t="n"/>
      <c r="AA295" s="656" t="n"/>
      <c r="AB295" s="401" t="n"/>
      <c r="AC295" s="9" t="n"/>
    </row>
    <row r="296" ht="36.9" customHeight="1">
      <c r="B296" s="187" t="n"/>
      <c r="D296" s="67" t="n"/>
      <c r="E296" s="240" t="inlineStr">
        <is>
          <t>Certificación 1</t>
        </is>
      </c>
      <c r="F296" s="693" t="n"/>
      <c r="G296" s="693" t="n"/>
      <c r="H296" s="694" t="n"/>
      <c r="I296" s="240" t="inlineStr">
        <is>
          <t>Certificación 2</t>
        </is>
      </c>
      <c r="J296" s="693" t="n"/>
      <c r="K296" s="693" t="n"/>
      <c r="L296" s="694" t="n"/>
      <c r="M296" s="240" t="inlineStr">
        <is>
          <t>Certificación 3</t>
        </is>
      </c>
      <c r="N296" s="693" t="n"/>
      <c r="O296" s="693" t="n"/>
      <c r="P296" s="694" t="n"/>
      <c r="Q296" s="240" t="inlineStr">
        <is>
          <t>Certificación 4</t>
        </is>
      </c>
      <c r="R296" s="693" t="n"/>
      <c r="S296" s="693" t="n"/>
      <c r="T296" s="694" t="n"/>
      <c r="U296" s="240" t="inlineStr">
        <is>
          <t>Certificación 5</t>
        </is>
      </c>
      <c r="V296" s="693" t="n"/>
      <c r="W296" s="693" t="n"/>
      <c r="X296" s="694" t="n"/>
      <c r="Y296" s="790" t="n"/>
      <c r="Z296" s="29" t="n"/>
      <c r="AA296" s="661" t="n"/>
      <c r="AB296" s="445" t="n"/>
      <c r="AC296" s="9" t="n"/>
    </row>
    <row r="297" ht="51.9" customHeight="1">
      <c r="B297" s="187">
        <f>IF(LEN(E297)&gt;1,1,0)</f>
        <v/>
      </c>
      <c r="C297" s="190">
        <f>IF(B297=0,"*","")</f>
        <v/>
      </c>
      <c r="D297" s="68" t="inlineStr">
        <is>
          <t>Tipo de registro de calidad: 
(Ejemplo: ISO 9001)</t>
        </is>
      </c>
      <c r="E297" s="783" t="inlineStr">
        <is>
          <t>NA</t>
        </is>
      </c>
      <c r="F297" s="671" t="n"/>
      <c r="G297" s="671" t="n"/>
      <c r="H297" s="672" t="n"/>
      <c r="I297" s="237" t="n"/>
      <c r="J297" s="671" t="n"/>
      <c r="K297" s="671" t="n"/>
      <c r="L297" s="672" t="n"/>
      <c r="M297" s="237" t="n"/>
      <c r="N297" s="671" t="n"/>
      <c r="O297" s="671" t="n"/>
      <c r="P297" s="672" t="n"/>
      <c r="Q297" s="237" t="n"/>
      <c r="R297" s="671" t="n"/>
      <c r="S297" s="671" t="n"/>
      <c r="T297" s="672" t="n"/>
      <c r="U297" s="237" t="n"/>
      <c r="V297" s="671" t="n"/>
      <c r="W297" s="671" t="n"/>
      <c r="X297" s="672" t="n"/>
      <c r="Y297" s="707" t="n"/>
      <c r="Z297" s="29" t="n"/>
      <c r="AA297" s="661" t="n"/>
      <c r="AB297" s="445" t="n"/>
      <c r="AC297" s="9" t="n"/>
    </row>
    <row r="298" ht="30.9" customHeight="1">
      <c r="B298" s="187">
        <f>IF(LEN(E298)&gt;1,1,0)</f>
        <v/>
      </c>
      <c r="C298" s="190">
        <f>IF(B298=0,"*","")</f>
        <v/>
      </c>
      <c r="D298" s="69" t="inlineStr">
        <is>
          <t>Aplica para:</t>
        </is>
      </c>
      <c r="E298" s="783" t="inlineStr">
        <is>
          <t>NA</t>
        </is>
      </c>
      <c r="F298" s="671" t="n"/>
      <c r="G298" s="671" t="n"/>
      <c r="H298" s="672" t="n"/>
      <c r="I298" s="237" t="n"/>
      <c r="J298" s="671" t="n"/>
      <c r="K298" s="671" t="n"/>
      <c r="L298" s="672" t="n"/>
      <c r="M298" s="237" t="n"/>
      <c r="N298" s="671" t="n"/>
      <c r="O298" s="671" t="n"/>
      <c r="P298" s="672" t="n"/>
      <c r="Q298" s="237" t="n"/>
      <c r="R298" s="671" t="n"/>
      <c r="S298" s="671" t="n"/>
      <c r="T298" s="672" t="n"/>
      <c r="U298" s="237" t="n"/>
      <c r="V298" s="671" t="n"/>
      <c r="W298" s="671" t="n"/>
      <c r="X298" s="672" t="n"/>
      <c r="Y298" s="707" t="n"/>
      <c r="Z298" s="29" t="n"/>
      <c r="AA298" s="661" t="n"/>
      <c r="AB298" s="445" t="n"/>
      <c r="AC298" s="9" t="n"/>
    </row>
    <row r="299" ht="24" customHeight="1">
      <c r="B299" s="187">
        <f>IF(LEN(E299)&gt;1,1,0)</f>
        <v/>
      </c>
      <c r="C299" s="190">
        <f>IF(B299=0,"*","")</f>
        <v/>
      </c>
      <c r="D299" s="69" t="inlineStr">
        <is>
          <t>No. de registro:</t>
        </is>
      </c>
      <c r="E299" s="783" t="inlineStr">
        <is>
          <t>NA</t>
        </is>
      </c>
      <c r="F299" s="671" t="n"/>
      <c r="G299" s="671" t="n"/>
      <c r="H299" s="672" t="n"/>
      <c r="I299" s="237" t="n"/>
      <c r="J299" s="671" t="n"/>
      <c r="K299" s="671" t="n"/>
      <c r="L299" s="672" t="n"/>
      <c r="M299" s="237" t="n"/>
      <c r="N299" s="671" t="n"/>
      <c r="O299" s="671" t="n"/>
      <c r="P299" s="672" t="n"/>
      <c r="Q299" s="237" t="n"/>
      <c r="R299" s="671" t="n"/>
      <c r="S299" s="671" t="n"/>
      <c r="T299" s="672" t="n"/>
      <c r="U299" s="237" t="n"/>
      <c r="V299" s="671" t="n"/>
      <c r="W299" s="671" t="n"/>
      <c r="X299" s="672" t="n"/>
      <c r="Y299" s="707" t="n"/>
      <c r="Z299" s="29" t="n"/>
      <c r="AA299" s="661" t="n"/>
      <c r="AB299" s="445" t="n"/>
      <c r="AC299" s="9" t="n"/>
    </row>
    <row r="300" ht="25.5" customHeight="1" thickBot="1">
      <c r="B300" s="187">
        <f>IF(LEN(E300)&gt;1,1,0)</f>
        <v/>
      </c>
      <c r="C300" s="190">
        <f>IF(B300=0,"*","")</f>
        <v/>
      </c>
      <c r="D300" s="70" t="inlineStr">
        <is>
          <t>Vigencia:</t>
        </is>
      </c>
      <c r="E300" s="791" t="inlineStr">
        <is>
          <t>NA</t>
        </is>
      </c>
      <c r="F300" s="679" t="n"/>
      <c r="G300" s="679" t="n"/>
      <c r="H300" s="680" t="n"/>
      <c r="I300" s="372" t="n"/>
      <c r="J300" s="679" t="n"/>
      <c r="K300" s="679" t="n"/>
      <c r="L300" s="680" t="n"/>
      <c r="M300" s="372" t="n"/>
      <c r="N300" s="679" t="n"/>
      <c r="O300" s="679" t="n"/>
      <c r="P300" s="680" t="n"/>
      <c r="Q300" s="372" t="n"/>
      <c r="R300" s="679" t="n"/>
      <c r="S300" s="679" t="n"/>
      <c r="T300" s="680" t="n"/>
      <c r="U300" s="372" t="n"/>
      <c r="V300" s="679" t="n"/>
      <c r="W300" s="679" t="n"/>
      <c r="X300" s="680" t="n"/>
      <c r="Y300" s="748" t="n"/>
      <c r="Z300" s="663" t="n"/>
      <c r="AA300" s="664" t="n"/>
      <c r="AB300" s="445" t="n"/>
      <c r="AC300" s="9" t="n"/>
    </row>
    <row r="301">
      <c r="B301" s="187" t="n"/>
      <c r="AC301" s="9" t="n"/>
    </row>
    <row r="302" ht="27" customHeight="1" thickBot="1">
      <c r="B302" s="187" t="n"/>
      <c r="AC302" s="9" t="n"/>
    </row>
    <row r="303" ht="40.5" customHeight="1" thickBot="1">
      <c r="B303" s="187" t="n"/>
      <c r="D303" s="480" t="inlineStr">
        <is>
          <t>VENTAS</t>
        </is>
      </c>
      <c r="E303" s="655" t="n"/>
      <c r="F303" s="655" t="n"/>
      <c r="G303" s="655" t="n"/>
      <c r="H303" s="655" t="n"/>
      <c r="I303" s="655" t="n"/>
      <c r="J303" s="655" t="n"/>
      <c r="K303" s="655" t="n"/>
      <c r="L303" s="655" t="n"/>
      <c r="M303" s="655" t="n"/>
      <c r="N303" s="655" t="n"/>
      <c r="O303" s="655" t="n"/>
      <c r="P303" s="655" t="n"/>
      <c r="Q303" s="655" t="n"/>
      <c r="R303" s="655" t="n"/>
      <c r="S303" s="655" t="n"/>
      <c r="T303" s="655" t="n"/>
      <c r="U303" s="655" t="n"/>
      <c r="V303" s="655" t="n"/>
      <c r="W303" s="655" t="n"/>
      <c r="X303" s="655" t="n"/>
      <c r="Y303" s="655" t="n"/>
      <c r="Z303" s="655" t="n"/>
      <c r="AA303" s="666" t="n"/>
      <c r="AB303" s="401" t="n"/>
      <c r="AC303" s="9" t="n"/>
    </row>
    <row r="304" ht="38.4" customHeight="1" thickBot="1">
      <c r="B304" s="187">
        <f>IF(R304&gt;0,1,0)</f>
        <v/>
      </c>
      <c r="C304" s="190">
        <f>IF(B304=0,"*","")</f>
        <v/>
      </c>
      <c r="D304" s="792" t="n"/>
      <c r="E304" s="658" t="n"/>
      <c r="F304" s="658" t="n"/>
      <c r="G304" s="658" t="n"/>
      <c r="H304" s="658" t="n"/>
      <c r="I304" s="658" t="n"/>
      <c r="J304" s="658" t="n"/>
      <c r="K304" s="658" t="n"/>
      <c r="L304" s="659" t="n"/>
      <c r="M304" s="793" t="inlineStr">
        <is>
          <t>Número total de clientes:
 (Nacionales y extranjeros):</t>
        </is>
      </c>
      <c r="N304" s="658" t="n"/>
      <c r="O304" s="658" t="n"/>
      <c r="P304" s="658" t="n"/>
      <c r="Q304" s="794" t="n"/>
      <c r="R304" s="795" t="n"/>
      <c r="S304" s="796" t="n"/>
      <c r="T304" s="796" t="n"/>
      <c r="U304" s="796" t="n"/>
      <c r="V304" s="796" t="n"/>
      <c r="W304" s="796" t="n"/>
      <c r="X304" s="796" t="n"/>
      <c r="Y304" s="796" t="n"/>
      <c r="Z304" s="796" t="n"/>
      <c r="AA304" s="797" t="n"/>
      <c r="AB304" s="432" t="n"/>
      <c r="AC304" s="9" t="n"/>
    </row>
    <row r="305" ht="31.5" customHeight="1" thickBot="1">
      <c r="B305" s="187">
        <f>IF(Y314=100%,1,0)</f>
        <v/>
      </c>
      <c r="C305" s="190">
        <f>IF(B305=0,"*","")</f>
        <v/>
      </c>
      <c r="D305" s="660" t="n"/>
      <c r="E305" s="29" t="n"/>
      <c r="F305" s="29" t="n"/>
      <c r="G305" s="29" t="n"/>
      <c r="H305" s="29" t="n"/>
      <c r="I305" s="29" t="n"/>
      <c r="J305" s="29" t="n"/>
      <c r="K305" s="29" t="n"/>
      <c r="L305" s="661" t="n"/>
      <c r="M305" s="798" t="inlineStr">
        <is>
          <t>Indique porcentaje de participación de ventas en los siguientes conceptos:</t>
        </is>
      </c>
      <c r="N305" s="655" t="n"/>
      <c r="O305" s="655" t="n"/>
      <c r="P305" s="655" t="n"/>
      <c r="Q305" s="655" t="n"/>
      <c r="R305" s="655" t="n"/>
      <c r="S305" s="655" t="n"/>
      <c r="T305" s="655" t="n"/>
      <c r="U305" s="655" t="n"/>
      <c r="V305" s="655" t="n"/>
      <c r="W305" s="655" t="n"/>
      <c r="X305" s="655" t="n"/>
      <c r="Y305" s="655" t="n"/>
      <c r="Z305" s="655" t="n"/>
      <c r="AA305" s="656" t="n"/>
      <c r="AB305" s="150" t="n"/>
      <c r="AC305" s="9" t="n"/>
    </row>
    <row r="306">
      <c r="B306" s="187" t="n"/>
      <c r="D306" s="660" t="n"/>
      <c r="E306" s="29" t="n"/>
      <c r="F306" s="29" t="n"/>
      <c r="G306" s="29" t="n"/>
      <c r="H306" s="29" t="n"/>
      <c r="I306" s="29" t="n"/>
      <c r="J306" s="29" t="n"/>
      <c r="K306" s="29" t="n"/>
      <c r="L306" s="661" t="n"/>
      <c r="M306" s="328" t="inlineStr">
        <is>
          <t>Privado:</t>
        </is>
      </c>
      <c r="N306" s="693" t="n"/>
      <c r="O306" s="693" t="n"/>
      <c r="P306" s="693" t="n"/>
      <c r="Q306" s="394" t="n"/>
      <c r="R306" s="668" t="n"/>
      <c r="S306" s="668" t="n"/>
      <c r="T306" s="668" t="n"/>
      <c r="U306" s="668" t="n"/>
      <c r="V306" s="668" t="n"/>
      <c r="W306" s="668" t="n"/>
      <c r="X306" s="668" t="n"/>
      <c r="Y306" s="668" t="n"/>
      <c r="Z306" s="668" t="n"/>
      <c r="AA306" s="669" t="n"/>
      <c r="AB306" s="151" t="n"/>
      <c r="AC306" s="9" t="n"/>
    </row>
    <row r="307">
      <c r="B307" s="187" t="n"/>
      <c r="D307" s="660" t="n"/>
      <c r="E307" s="29" t="n"/>
      <c r="F307" s="29" t="n"/>
      <c r="G307" s="29" t="n"/>
      <c r="H307" s="29" t="n"/>
      <c r="I307" s="29" t="n"/>
      <c r="J307" s="29" t="n"/>
      <c r="K307" s="29" t="n"/>
      <c r="L307" s="661" t="n"/>
      <c r="M307" s="283" t="inlineStr">
        <is>
          <t>Gobierno:</t>
        </is>
      </c>
      <c r="N307" s="284" t="n"/>
      <c r="O307" s="284" t="n"/>
      <c r="P307" s="284" t="n"/>
      <c r="Q307" s="386" t="n"/>
      <c r="R307" s="671" t="n"/>
      <c r="S307" s="671" t="n"/>
      <c r="T307" s="671" t="n"/>
      <c r="U307" s="671" t="n"/>
      <c r="V307" s="671" t="n"/>
      <c r="W307" s="671" t="n"/>
      <c r="X307" s="671" t="n"/>
      <c r="Y307" s="671" t="n"/>
      <c r="Z307" s="671" t="n"/>
      <c r="AA307" s="672" t="n"/>
      <c r="AB307" s="151" t="n"/>
      <c r="AC307" s="9" t="n"/>
    </row>
    <row r="308">
      <c r="B308" s="187" t="n"/>
      <c r="D308" s="660" t="n"/>
      <c r="E308" s="29" t="n"/>
      <c r="F308" s="29" t="n"/>
      <c r="G308" s="29" t="n"/>
      <c r="H308" s="29" t="n"/>
      <c r="I308" s="29" t="n"/>
      <c r="J308" s="29" t="n"/>
      <c r="K308" s="29" t="n"/>
      <c r="L308" s="661" t="n"/>
      <c r="M308" s="283" t="inlineStr">
        <is>
          <t>Filiales:</t>
        </is>
      </c>
      <c r="N308" s="773" t="n"/>
      <c r="O308" s="773" t="n"/>
      <c r="P308" s="773" t="n"/>
      <c r="Q308" s="386" t="n"/>
      <c r="R308" s="671" t="n"/>
      <c r="S308" s="671" t="n"/>
      <c r="T308" s="671" t="n"/>
      <c r="U308" s="671" t="n"/>
      <c r="V308" s="671" t="n"/>
      <c r="W308" s="671" t="n"/>
      <c r="X308" s="671" t="n"/>
      <c r="Y308" s="671" t="n"/>
      <c r="Z308" s="671" t="n"/>
      <c r="AA308" s="672" t="n"/>
      <c r="AB308" s="151" t="n"/>
      <c r="AC308" s="9" t="n"/>
    </row>
    <row r="309">
      <c r="B309" s="187" t="n"/>
      <c r="D309" s="660" t="n"/>
      <c r="E309" s="29" t="n"/>
      <c r="F309" s="29" t="n"/>
      <c r="G309" s="29" t="n"/>
      <c r="H309" s="29" t="n"/>
      <c r="I309" s="29" t="n"/>
      <c r="J309" s="29" t="n"/>
      <c r="K309" s="29" t="n"/>
      <c r="L309" s="661" t="n"/>
      <c r="M309" s="283" t="inlineStr">
        <is>
          <t>Distribuidor:</t>
        </is>
      </c>
      <c r="N309" s="773" t="n"/>
      <c r="O309" s="773" t="n"/>
      <c r="P309" s="773" t="n"/>
      <c r="Q309" s="386" t="n"/>
      <c r="R309" s="671" t="n"/>
      <c r="S309" s="671" t="n"/>
      <c r="T309" s="671" t="n"/>
      <c r="U309" s="671" t="n"/>
      <c r="V309" s="671" t="n"/>
      <c r="W309" s="671" t="n"/>
      <c r="X309" s="671" t="n"/>
      <c r="Y309" s="671" t="n"/>
      <c r="Z309" s="671" t="n"/>
      <c r="AA309" s="672" t="n"/>
      <c r="AB309" s="151" t="n"/>
      <c r="AC309" s="9" t="n"/>
    </row>
    <row r="310">
      <c r="B310" s="187" t="n"/>
      <c r="D310" s="660" t="n"/>
      <c r="E310" s="29" t="n"/>
      <c r="F310" s="29" t="n"/>
      <c r="G310" s="29" t="n"/>
      <c r="H310" s="29" t="n"/>
      <c r="I310" s="29" t="n"/>
      <c r="J310" s="29" t="n"/>
      <c r="K310" s="29" t="n"/>
      <c r="L310" s="661" t="n"/>
      <c r="M310" s="283" t="inlineStr">
        <is>
          <t>Público general:</t>
        </is>
      </c>
      <c r="N310" s="773" t="n"/>
      <c r="O310" s="773" t="n"/>
      <c r="P310" s="773" t="n"/>
      <c r="Q310" s="386" t="n"/>
      <c r="R310" s="671" t="n"/>
      <c r="S310" s="671" t="n"/>
      <c r="T310" s="671" t="n"/>
      <c r="U310" s="671" t="n"/>
      <c r="V310" s="671" t="n"/>
      <c r="W310" s="671" t="n"/>
      <c r="X310" s="671" t="n"/>
      <c r="Y310" s="671" t="n"/>
      <c r="Z310" s="671" t="n"/>
      <c r="AA310" s="672" t="n"/>
      <c r="AB310" s="151" t="n"/>
      <c r="AC310" s="9" t="n"/>
    </row>
    <row r="311">
      <c r="B311" s="187" t="n"/>
      <c r="D311" s="660" t="n"/>
      <c r="E311" s="29" t="n"/>
      <c r="F311" s="29" t="n"/>
      <c r="G311" s="29" t="n"/>
      <c r="H311" s="29" t="n"/>
      <c r="I311" s="29" t="n"/>
      <c r="J311" s="29" t="n"/>
      <c r="K311" s="29" t="n"/>
      <c r="L311" s="661" t="n"/>
      <c r="M311" s="283" t="inlineStr">
        <is>
          <t>Matriz:</t>
        </is>
      </c>
      <c r="N311" s="773" t="n"/>
      <c r="O311" s="773" t="n"/>
      <c r="P311" s="773" t="n"/>
      <c r="Q311" s="386" t="n"/>
      <c r="R311" s="671" t="n"/>
      <c r="S311" s="671" t="n"/>
      <c r="T311" s="671" t="n"/>
      <c r="U311" s="671" t="n"/>
      <c r="V311" s="671" t="n"/>
      <c r="W311" s="671" t="n"/>
      <c r="X311" s="671" t="n"/>
      <c r="Y311" s="671" t="n"/>
      <c r="Z311" s="671" t="n"/>
      <c r="AA311" s="672" t="n"/>
      <c r="AB311" s="151" t="n"/>
      <c r="AC311" s="9" t="n"/>
    </row>
    <row r="312">
      <c r="B312" s="187" t="n"/>
      <c r="D312" s="660" t="n"/>
      <c r="E312" s="29" t="n"/>
      <c r="F312" s="29" t="n"/>
      <c r="G312" s="29" t="n"/>
      <c r="H312" s="29" t="n"/>
      <c r="I312" s="29" t="n"/>
      <c r="J312" s="29" t="n"/>
      <c r="K312" s="29" t="n"/>
      <c r="L312" s="661" t="n"/>
      <c r="M312" s="283" t="inlineStr">
        <is>
          <t>Subsidiarias:</t>
        </is>
      </c>
      <c r="N312" s="773" t="n"/>
      <c r="O312" s="773" t="n"/>
      <c r="P312" s="773" t="n"/>
      <c r="Q312" s="386" t="n"/>
      <c r="R312" s="671" t="n"/>
      <c r="S312" s="671" t="n"/>
      <c r="T312" s="671" t="n"/>
      <c r="U312" s="671" t="n"/>
      <c r="V312" s="671" t="n"/>
      <c r="W312" s="671" t="n"/>
      <c r="X312" s="671" t="n"/>
      <c r="Y312" s="671" t="n"/>
      <c r="Z312" s="671" t="n"/>
      <c r="AA312" s="672" t="n"/>
      <c r="AB312" s="151" t="n"/>
      <c r="AC312" s="9" t="n"/>
    </row>
    <row r="313" ht="27" customHeight="1" thickBot="1">
      <c r="B313" s="187" t="n"/>
      <c r="D313" s="660" t="n"/>
      <c r="E313" s="29" t="n"/>
      <c r="F313" s="29" t="n"/>
      <c r="G313" s="29" t="n"/>
      <c r="H313" s="29" t="n"/>
      <c r="I313" s="29" t="n"/>
      <c r="J313" s="29" t="n"/>
      <c r="K313" s="29" t="n"/>
      <c r="L313" s="661" t="n"/>
      <c r="M313" s="392" t="inlineStr">
        <is>
          <t>Cía. grupo:</t>
        </is>
      </c>
      <c r="N313" s="799" t="n"/>
      <c r="O313" s="799" t="n"/>
      <c r="P313" s="799" t="n"/>
      <c r="Q313" s="470" t="n"/>
      <c r="R313" s="679" t="n"/>
      <c r="S313" s="679" t="n"/>
      <c r="T313" s="679" t="n"/>
      <c r="U313" s="679" t="n"/>
      <c r="V313" s="679" t="n"/>
      <c r="W313" s="679" t="n"/>
      <c r="X313" s="679" t="n"/>
      <c r="Y313" s="679" t="n"/>
      <c r="Z313" s="679" t="n"/>
      <c r="AA313" s="680" t="n"/>
      <c r="AB313" s="151" t="n"/>
      <c r="AC313" s="9" t="n"/>
    </row>
    <row r="314" ht="40.5" customHeight="1" thickBot="1">
      <c r="B314" s="187" t="n"/>
      <c r="D314" s="456" t="inlineStr">
        <is>
          <t xml:space="preserve">Distribución de ventas </t>
        </is>
      </c>
      <c r="E314" s="655" t="n"/>
      <c r="F314" s="655" t="n"/>
      <c r="G314" s="655" t="n"/>
      <c r="H314" s="666" t="n"/>
      <c r="I314" s="282" t="n"/>
      <c r="J314" s="29" t="n"/>
      <c r="K314" s="29" t="n"/>
      <c r="L314" s="29" t="n"/>
      <c r="M314" s="29" t="n"/>
      <c r="N314" s="29" t="n"/>
      <c r="O314" s="29" t="n"/>
      <c r="P314" s="29" t="n"/>
      <c r="Q314" s="29" t="n"/>
      <c r="R314" s="29" t="n"/>
      <c r="S314" s="29" t="n"/>
      <c r="T314" s="29" t="n"/>
      <c r="U314" s="29" t="n"/>
      <c r="V314" s="29" t="n"/>
      <c r="W314" s="271" t="inlineStr">
        <is>
          <t>Total</t>
        </is>
      </c>
      <c r="X314" s="655" t="n"/>
      <c r="Y314" s="274">
        <f>IF(SUM(Q306:AA313)&gt;1,"Error ha excedido el 100%",SUM(Q306:AA313))</f>
        <v/>
      </c>
      <c r="Z314" s="655" t="n"/>
      <c r="AA314" s="656" t="n"/>
      <c r="AB314" s="152" t="n"/>
      <c r="AC314" s="9" t="n"/>
    </row>
    <row r="315">
      <c r="B315" s="187" t="n"/>
      <c r="D315" s="33" t="inlineStr">
        <is>
          <t>Porcentaje de ventas nacionales:</t>
        </is>
      </c>
      <c r="E315" s="800" t="n">
        <v>1</v>
      </c>
      <c r="F315" s="668" t="n"/>
      <c r="G315" s="668" t="n"/>
      <c r="H315" s="669" t="n"/>
      <c r="I315" s="29" t="n"/>
      <c r="J315" s="29" t="n"/>
      <c r="K315" s="29" t="n"/>
      <c r="L315" s="29" t="n"/>
      <c r="M315" s="29" t="n"/>
      <c r="N315" s="29" t="n"/>
      <c r="O315" s="29" t="n"/>
      <c r="P315" s="29" t="n"/>
      <c r="Q315" s="29" t="n"/>
      <c r="R315" s="29" t="n"/>
      <c r="S315" s="29" t="n"/>
      <c r="T315" s="29" t="n"/>
      <c r="U315" s="29" t="n"/>
      <c r="V315" s="29" t="n"/>
      <c r="W315" s="71" t="n"/>
      <c r="X315" s="71" t="n"/>
      <c r="Y315" s="71" t="n"/>
      <c r="Z315" s="71" t="n"/>
      <c r="AA315" s="72" t="n"/>
      <c r="AC315" s="9" t="n"/>
    </row>
    <row r="316">
      <c r="B316" s="187" t="n"/>
      <c r="D316" s="241" t="inlineStr">
        <is>
          <t>Porcentaje de ventas internacionales:</t>
        </is>
      </c>
      <c r="E316" s="385">
        <f>1-E315</f>
        <v/>
      </c>
      <c r="F316" s="773" t="n"/>
      <c r="G316" s="773" t="n"/>
      <c r="H316" s="774" t="n"/>
      <c r="I316" s="693" t="n"/>
      <c r="J316" s="693" t="n"/>
      <c r="K316" s="693" t="n"/>
      <c r="L316" s="693" t="n"/>
      <c r="M316" s="693" t="n"/>
      <c r="N316" s="693" t="n"/>
      <c r="O316" s="693" t="n"/>
      <c r="P316" s="693" t="n"/>
      <c r="Q316" s="693" t="n"/>
      <c r="R316" s="693" t="n"/>
      <c r="S316" s="693" t="n"/>
      <c r="T316" s="693" t="n"/>
      <c r="U316" s="693" t="n"/>
      <c r="V316" s="693" t="n"/>
      <c r="W316" s="71" t="n"/>
      <c r="X316" s="71" t="n"/>
      <c r="Y316" s="71" t="n"/>
      <c r="Z316" s="71" t="n"/>
      <c r="AA316" s="72" t="n"/>
      <c r="AC316" s="9" t="n"/>
    </row>
    <row r="317" ht="48.6" customHeight="1">
      <c r="B317" s="187">
        <f>IF(OR(E316=0),1,IF(LEN(E293)&gt;1,1,0))</f>
        <v/>
      </c>
      <c r="C317" s="190">
        <f>IF(B317=0,"*","")</f>
        <v/>
      </c>
      <c r="D317" s="241">
        <f>IF(OR(E316=0),"","Países a donde exporta:")</f>
        <v/>
      </c>
      <c r="E317" s="243" t="n"/>
      <c r="F317" s="671" t="n"/>
      <c r="G317" s="671" t="n"/>
      <c r="H317" s="671" t="n"/>
      <c r="I317" s="671" t="n"/>
      <c r="J317" s="671" t="n"/>
      <c r="K317" s="671" t="n"/>
      <c r="L317" s="671" t="n"/>
      <c r="M317" s="671" t="n"/>
      <c r="N317" s="671" t="n"/>
      <c r="O317" s="671" t="n"/>
      <c r="P317" s="671" t="n"/>
      <c r="Q317" s="671" t="n"/>
      <c r="R317" s="671" t="n"/>
      <c r="S317" s="671" t="n"/>
      <c r="T317" s="671" t="n"/>
      <c r="U317" s="671" t="n"/>
      <c r="V317" s="671" t="n"/>
      <c r="W317" s="671" t="n"/>
      <c r="X317" s="671" t="n"/>
      <c r="Y317" s="671" t="n"/>
      <c r="Z317" s="671" t="n"/>
      <c r="AA317" s="672" t="n"/>
      <c r="AB317" s="587" t="n"/>
      <c r="AC317" s="9" t="n"/>
    </row>
    <row r="318" ht="21.9" customHeight="1">
      <c r="B318" s="187">
        <f>IF(AND(LEN(E318)&gt;1,LEN(E319)&gt;1),1,0)</f>
        <v/>
      </c>
      <c r="C318" s="190">
        <f>IF(B318=0,"*","")</f>
        <v/>
      </c>
      <c r="D318" s="241" t="inlineStr">
        <is>
          <t>Seleccione la opción que mejor corresponda:</t>
        </is>
      </c>
      <c r="E318" s="783" t="inlineStr">
        <is>
          <t>Las ventas se mantienen a lo largo de todo el año</t>
        </is>
      </c>
      <c r="F318" s="671" t="n"/>
      <c r="G318" s="671" t="n"/>
      <c r="H318" s="672" t="n"/>
      <c r="I318" s="801" t="n"/>
      <c r="J318" s="689" t="n"/>
      <c r="K318" s="689" t="n"/>
      <c r="L318" s="689" t="n"/>
      <c r="M318" s="689" t="n"/>
      <c r="N318" s="689" t="n"/>
      <c r="O318" s="689" t="n"/>
      <c r="P318" s="689" t="n"/>
      <c r="Q318" s="689" t="n"/>
      <c r="R318" s="689" t="n"/>
      <c r="S318" s="689" t="n"/>
      <c r="T318" s="689" t="n"/>
      <c r="U318" s="689" t="n"/>
      <c r="V318" s="689" t="n"/>
      <c r="W318" s="689" t="n"/>
      <c r="X318" s="689" t="n"/>
      <c r="Y318" s="689" t="n"/>
      <c r="Z318" s="689" t="n"/>
      <c r="AA318" s="746" t="n"/>
      <c r="AB318" s="326" t="n"/>
      <c r="AC318" s="9" t="n"/>
    </row>
    <row r="319" ht="21.9" customHeight="1">
      <c r="B319" s="187" t="n"/>
      <c r="D319" s="786" t="n"/>
      <c r="E319" s="237" t="n"/>
      <c r="F319" s="671" t="n"/>
      <c r="G319" s="671" t="n"/>
      <c r="H319" s="672" t="n"/>
      <c r="I319" s="692" t="n"/>
      <c r="J319" s="693" t="n"/>
      <c r="K319" s="693" t="n"/>
      <c r="L319" s="693" t="n"/>
      <c r="M319" s="693" t="n"/>
      <c r="N319" s="693" t="n"/>
      <c r="O319" s="693" t="n"/>
      <c r="P319" s="693" t="n"/>
      <c r="Q319" s="693" t="n"/>
      <c r="R319" s="693" t="n"/>
      <c r="S319" s="693" t="n"/>
      <c r="T319" s="693" t="n"/>
      <c r="U319" s="693" t="n"/>
      <c r="V319" s="693" t="n"/>
      <c r="W319" s="693" t="n"/>
      <c r="X319" s="693" t="n"/>
      <c r="Y319" s="693" t="n"/>
      <c r="Z319" s="693" t="n"/>
      <c r="AA319" s="775" t="n"/>
      <c r="AB319" s="326" t="n"/>
      <c r="AC319" s="9" t="n"/>
    </row>
    <row r="320" ht="32.4" customHeight="1">
      <c r="B320" s="187">
        <f>IF(LEN(E320)&gt;1,1,0)</f>
        <v/>
      </c>
      <c r="C320" s="190">
        <f>IF(B320=0,"*","")</f>
        <v/>
      </c>
      <c r="D320" s="241" t="inlineStr">
        <is>
          <t xml:space="preserve">Temporada descripción: </t>
        </is>
      </c>
      <c r="E320" s="785" t="inlineStr">
        <is>
          <t>NA</t>
        </is>
      </c>
      <c r="F320" s="671" t="n"/>
      <c r="G320" s="671" t="n"/>
      <c r="H320" s="671" t="n"/>
      <c r="I320" s="671" t="n"/>
      <c r="J320" s="671" t="n"/>
      <c r="K320" s="671" t="n"/>
      <c r="L320" s="671" t="n"/>
      <c r="M320" s="671" t="n"/>
      <c r="N320" s="671" t="n"/>
      <c r="O320" s="671" t="n"/>
      <c r="P320" s="671" t="n"/>
      <c r="Q320" s="671" t="n"/>
      <c r="R320" s="671" t="n"/>
      <c r="S320" s="671" t="n"/>
      <c r="T320" s="671" t="n"/>
      <c r="U320" s="671" t="n"/>
      <c r="V320" s="671" t="n"/>
      <c r="W320" s="671" t="n"/>
      <c r="X320" s="671" t="n"/>
      <c r="Y320" s="671" t="n"/>
      <c r="Z320" s="671" t="n"/>
      <c r="AA320" s="672" t="n"/>
      <c r="AB320" s="587" t="n"/>
      <c r="AC320" s="9" t="n"/>
    </row>
    <row r="321" ht="81.90000000000001" customHeight="1" thickBot="1">
      <c r="B321" s="187">
        <f>IF(LEN(E321)&gt;1,1,0)</f>
        <v/>
      </c>
      <c r="C321" s="190">
        <f>IF(B321=0,"*","")</f>
        <v/>
      </c>
      <c r="D321" s="34" t="inlineStr">
        <is>
          <t>Contribución a la comunidad:
(Si su empresa ha realizado algún proyecto, donación o campaña verde en apoyo a la comunidad, indique el año y el porcentaje de las ventas que se destinó a estos fines. Ejemplo: 2016=10%, 2018=5% Puede ingresar información de hasta tres años.)</t>
        </is>
      </c>
      <c r="E321" s="802" t="inlineStr">
        <is>
          <t>NA</t>
        </is>
      </c>
      <c r="F321" s="679" t="n"/>
      <c r="G321" s="679" t="n"/>
      <c r="H321" s="679" t="n"/>
      <c r="I321" s="679" t="n"/>
      <c r="J321" s="679" t="n"/>
      <c r="K321" s="679" t="n"/>
      <c r="L321" s="679" t="n"/>
      <c r="M321" s="679" t="n"/>
      <c r="N321" s="679" t="n"/>
      <c r="O321" s="679" t="n"/>
      <c r="P321" s="679" t="n"/>
      <c r="Q321" s="679" t="n"/>
      <c r="R321" s="679" t="n"/>
      <c r="S321" s="679" t="n"/>
      <c r="T321" s="679" t="n"/>
      <c r="U321" s="679" t="n"/>
      <c r="V321" s="679" t="n"/>
      <c r="W321" s="679" t="n"/>
      <c r="X321" s="679" t="n"/>
      <c r="Y321" s="679" t="n"/>
      <c r="Z321" s="679" t="n"/>
      <c r="AA321" s="701" t="n"/>
      <c r="AB321" s="326" t="n"/>
      <c r="AC321" s="9" t="n"/>
    </row>
    <row r="322" ht="38.4" customHeight="1" thickBot="1">
      <c r="B322" s="187" t="n"/>
      <c r="D322" s="654" t="inlineStr">
        <is>
          <t>PRINCIPALES CLIENTES</t>
        </is>
      </c>
      <c r="E322" s="655" t="n"/>
      <c r="F322" s="655" t="n"/>
      <c r="G322" s="655" t="n"/>
      <c r="H322" s="655" t="n"/>
      <c r="I322" s="655" t="n"/>
      <c r="J322" s="655" t="n"/>
      <c r="K322" s="655" t="n"/>
      <c r="L322" s="655" t="n"/>
      <c r="M322" s="655" t="n"/>
      <c r="N322" s="655" t="n"/>
      <c r="O322" s="655" t="n"/>
      <c r="P322" s="655" t="n"/>
      <c r="Q322" s="655" t="n"/>
      <c r="R322" s="655" t="n"/>
      <c r="S322" s="655" t="n"/>
      <c r="T322" s="655" t="n"/>
      <c r="U322" s="655" t="n"/>
      <c r="V322" s="655" t="n"/>
      <c r="W322" s="655" t="n"/>
      <c r="X322" s="655" t="n"/>
      <c r="Y322" s="655" t="n"/>
      <c r="Z322" s="655" t="n"/>
      <c r="AA322" s="656" t="n"/>
      <c r="AB322" s="401" t="n"/>
      <c r="AC322" s="9" t="n"/>
    </row>
    <row r="323" ht="32.4" customHeight="1">
      <c r="B323" s="187" t="n"/>
      <c r="D323" s="73" t="n"/>
      <c r="E323" s="240" t="inlineStr">
        <is>
          <t>Cliente 1</t>
        </is>
      </c>
      <c r="F323" s="693" t="n"/>
      <c r="G323" s="693" t="n"/>
      <c r="H323" s="694" t="n"/>
      <c r="I323" s="240" t="inlineStr">
        <is>
          <t>Cliente 2</t>
        </is>
      </c>
      <c r="J323" s="693" t="n"/>
      <c r="K323" s="693" t="n"/>
      <c r="L323" s="694" t="n"/>
      <c r="M323" s="240" t="inlineStr">
        <is>
          <t>Cliente 3</t>
        </is>
      </c>
      <c r="N323" s="693" t="n"/>
      <c r="O323" s="693" t="n"/>
      <c r="P323" s="694" t="n"/>
      <c r="Q323" s="240" t="inlineStr">
        <is>
          <t>Cliente 4</t>
        </is>
      </c>
      <c r="R323" s="693" t="n"/>
      <c r="S323" s="693" t="n"/>
      <c r="T323" s="694" t="n"/>
      <c r="U323" s="240" t="inlineStr">
        <is>
          <t>Cliente 5</t>
        </is>
      </c>
      <c r="V323" s="693" t="n"/>
      <c r="W323" s="693" t="n"/>
      <c r="X323" s="694" t="n"/>
      <c r="Y323" s="312" t="n"/>
      <c r="Z323" s="29" t="n"/>
      <c r="AA323" s="661" t="n"/>
      <c r="AB323" s="52" t="n"/>
      <c r="AC323" s="9" t="n"/>
    </row>
    <row r="324" ht="24" customHeight="1">
      <c r="B324" s="187">
        <f>IF(LEN(E324)&gt;1,1,0)</f>
        <v/>
      </c>
      <c r="C324" s="190">
        <f>IF(B324=0,"*","")</f>
        <v/>
      </c>
      <c r="D324" s="241" t="inlineStr">
        <is>
          <t>Razón social:</t>
        </is>
      </c>
      <c r="E324" s="783" t="inlineStr">
        <is>
          <t>Ministerio de Salud de Santiago del Estero</t>
        </is>
      </c>
      <c r="F324" s="671" t="n"/>
      <c r="G324" s="671" t="n"/>
      <c r="H324" s="672" t="n"/>
      <c r="I324" s="237" t="n"/>
      <c r="J324" s="671" t="n"/>
      <c r="K324" s="671" t="n"/>
      <c r="L324" s="672" t="n"/>
      <c r="M324" s="237" t="n"/>
      <c r="N324" s="671" t="n"/>
      <c r="O324" s="671" t="n"/>
      <c r="P324" s="672" t="n"/>
      <c r="Q324" s="237" t="n"/>
      <c r="R324" s="671" t="n"/>
      <c r="S324" s="671" t="n"/>
      <c r="T324" s="672" t="n"/>
      <c r="U324" s="237" t="n"/>
      <c r="V324" s="671" t="n"/>
      <c r="W324" s="671" t="n"/>
      <c r="X324" s="672" t="n"/>
      <c r="Y324" s="29" t="n"/>
      <c r="Z324" s="29" t="n"/>
      <c r="AA324" s="661" t="n"/>
      <c r="AB324" s="52" t="n"/>
      <c r="AC324" s="9" t="n"/>
    </row>
    <row r="325" ht="24" customHeight="1" thickBot="1">
      <c r="B325" s="187">
        <f>IF(LEN(E325)&gt;1,1,0)</f>
        <v/>
      </c>
      <c r="C325" s="190">
        <f>IF(B325=0,"*","")</f>
        <v/>
      </c>
      <c r="D325" s="242" t="inlineStr">
        <is>
          <t>Porcentaje de ventas:</t>
        </is>
      </c>
      <c r="E325" s="804" t="inlineStr">
        <is>
          <t>100%</t>
        </is>
      </c>
      <c r="F325" s="679" t="n"/>
      <c r="G325" s="679" t="n"/>
      <c r="H325" s="680" t="n"/>
      <c r="I325" s="380" t="n"/>
      <c r="J325" s="679" t="n"/>
      <c r="K325" s="679" t="n"/>
      <c r="L325" s="680" t="n"/>
      <c r="M325" s="380" t="n"/>
      <c r="N325" s="679" t="n"/>
      <c r="O325" s="679" t="n"/>
      <c r="P325" s="680" t="n"/>
      <c r="Q325" s="380" t="n"/>
      <c r="R325" s="679" t="n"/>
      <c r="S325" s="679" t="n"/>
      <c r="T325" s="680" t="n"/>
      <c r="U325" s="380" t="n"/>
      <c r="V325" s="679" t="n"/>
      <c r="W325" s="679" t="n"/>
      <c r="X325" s="680" t="n"/>
      <c r="Y325" s="663" t="n"/>
      <c r="Z325" s="663" t="n"/>
      <c r="AA325" s="664" t="n"/>
      <c r="AB325" s="52" t="n"/>
      <c r="AC325" s="9" t="n"/>
    </row>
    <row r="326" ht="41.4" customHeight="1" thickBot="1">
      <c r="B326" s="187" t="n"/>
      <c r="D326" s="74" t="n"/>
      <c r="E326" s="624" t="n"/>
      <c r="F326" s="624" t="n"/>
      <c r="G326" s="624" t="n"/>
      <c r="H326" s="624" t="n"/>
      <c r="I326" s="624" t="n"/>
      <c r="J326" s="624" t="n"/>
      <c r="K326" s="624" t="n"/>
      <c r="L326" s="624" t="n"/>
      <c r="M326" s="624" t="n"/>
      <c r="N326" s="624" t="n"/>
      <c r="O326" s="624" t="n"/>
      <c r="P326" s="624" t="n"/>
      <c r="Q326" s="624" t="n"/>
      <c r="R326" s="624" t="n"/>
      <c r="S326" s="624" t="n"/>
      <c r="T326" s="624" t="n"/>
      <c r="U326" s="624" t="n"/>
      <c r="V326" s="624" t="n"/>
      <c r="W326" s="624" t="n"/>
      <c r="X326" s="624" t="n"/>
      <c r="Y326" s="308" t="n"/>
      <c r="Z326" s="308" t="n"/>
      <c r="AA326" s="308" t="n"/>
      <c r="AB326" s="52" t="n"/>
      <c r="AC326" s="9" t="n"/>
    </row>
    <row r="327" ht="42.6" customHeight="1" thickBot="1">
      <c r="B327" s="187" t="n"/>
      <c r="D327" s="654" t="inlineStr">
        <is>
          <t>SEGUROS</t>
        </is>
      </c>
      <c r="E327" s="655" t="n"/>
      <c r="F327" s="655" t="n"/>
      <c r="G327" s="655" t="n"/>
      <c r="H327" s="655" t="n"/>
      <c r="I327" s="655" t="n"/>
      <c r="J327" s="655" t="n"/>
      <c r="K327" s="655" t="n"/>
      <c r="L327" s="655" t="n"/>
      <c r="M327" s="655" t="n"/>
      <c r="N327" s="655" t="n"/>
      <c r="O327" s="655" t="n"/>
      <c r="P327" s="655" t="n"/>
      <c r="Q327" s="655" t="n"/>
      <c r="R327" s="655" t="n"/>
      <c r="S327" s="655" t="n"/>
      <c r="T327" s="655" t="n"/>
      <c r="U327" s="655" t="n"/>
      <c r="V327" s="655" t="n"/>
      <c r="W327" s="655" t="n"/>
      <c r="X327" s="655" t="n"/>
      <c r="Y327" s="655" t="n"/>
      <c r="Z327" s="655" t="n"/>
      <c r="AA327" s="656" t="n"/>
      <c r="AB327" s="401" t="n"/>
      <c r="AC327" s="9" t="n"/>
    </row>
    <row r="328" ht="33.9" customHeight="1">
      <c r="B328" s="187" t="n"/>
      <c r="D328" s="62" t="n"/>
      <c r="E328" s="240" t="inlineStr">
        <is>
          <t>Aseguradora 1</t>
        </is>
      </c>
      <c r="F328" s="693" t="n"/>
      <c r="G328" s="693" t="n"/>
      <c r="H328" s="694" t="n"/>
      <c r="I328" s="240" t="inlineStr">
        <is>
          <t>Aseguradora 2</t>
        </is>
      </c>
      <c r="J328" s="693" t="n"/>
      <c r="K328" s="693" t="n"/>
      <c r="L328" s="694" t="n"/>
      <c r="M328" s="240" t="inlineStr">
        <is>
          <t>Aseguradora 3</t>
        </is>
      </c>
      <c r="N328" s="693" t="n"/>
      <c r="O328" s="693" t="n"/>
      <c r="P328" s="694" t="n"/>
      <c r="Q328" s="240" t="inlineStr">
        <is>
          <t>Aseguradora 4</t>
        </is>
      </c>
      <c r="R328" s="693" t="n"/>
      <c r="S328" s="693" t="n"/>
      <c r="T328" s="694" t="n"/>
      <c r="U328" s="240" t="inlineStr">
        <is>
          <t>Aseguradora 5</t>
        </is>
      </c>
      <c r="V328" s="693" t="n"/>
      <c r="W328" s="693" t="n"/>
      <c r="X328" s="694" t="n"/>
      <c r="Y328" s="805" t="n"/>
      <c r="Z328" s="658" t="n"/>
      <c r="AA328" s="659" t="n"/>
      <c r="AB328" s="52" t="n"/>
      <c r="AC328" s="9" t="n"/>
    </row>
    <row r="329" ht="41.4" customHeight="1">
      <c r="B329" s="187">
        <f>IF(LEN(E329)&gt;1,1,0)</f>
        <v/>
      </c>
      <c r="C329" s="190">
        <f>IF(B329=0,"*","")</f>
        <v/>
      </c>
      <c r="D329" s="241" t="inlineStr">
        <is>
          <t>Nombre de la aseguradora:</t>
        </is>
      </c>
      <c r="E329" s="706" t="inlineStr">
        <is>
          <t>NA</t>
        </is>
      </c>
      <c r="F329" s="671" t="n"/>
      <c r="G329" s="671" t="n"/>
      <c r="H329" s="672" t="n"/>
      <c r="I329" s="365" t="n"/>
      <c r="J329" s="671" t="n"/>
      <c r="K329" s="671" t="n"/>
      <c r="L329" s="672" t="n"/>
      <c r="M329" s="365" t="n"/>
      <c r="N329" s="671" t="n"/>
      <c r="O329" s="671" t="n"/>
      <c r="P329" s="672" t="n"/>
      <c r="Q329" s="365" t="n"/>
      <c r="R329" s="671" t="n"/>
      <c r="S329" s="671" t="n"/>
      <c r="T329" s="672" t="n"/>
      <c r="U329" s="365" t="n"/>
      <c r="V329" s="671" t="n"/>
      <c r="W329" s="671" t="n"/>
      <c r="X329" s="672" t="n"/>
      <c r="Y329" s="707" t="n"/>
      <c r="Z329" s="29" t="n"/>
      <c r="AA329" s="661" t="n"/>
      <c r="AB329" s="52" t="n"/>
      <c r="AC329" s="9" t="n"/>
    </row>
    <row r="330" ht="51.9" customHeight="1" thickBot="1">
      <c r="B330" s="187">
        <f>IF(LEN(E330)&gt;1,1,0)</f>
        <v/>
      </c>
      <c r="C330" s="190">
        <f>IF(B330=0,"*","")</f>
        <v/>
      </c>
      <c r="D330" s="242" t="inlineStr">
        <is>
          <t>Cobertura:</t>
        </is>
      </c>
      <c r="E330" s="747" t="inlineStr">
        <is>
          <t>NA</t>
        </is>
      </c>
      <c r="F330" s="679" t="n"/>
      <c r="G330" s="679" t="n"/>
      <c r="H330" s="680" t="n"/>
      <c r="I330" s="218" t="n"/>
      <c r="J330" s="679" t="n"/>
      <c r="K330" s="679" t="n"/>
      <c r="L330" s="680" t="n"/>
      <c r="M330" s="218" t="n"/>
      <c r="N330" s="679" t="n"/>
      <c r="O330" s="679" t="n"/>
      <c r="P330" s="680" t="n"/>
      <c r="Q330" s="218" t="n"/>
      <c r="R330" s="679" t="n"/>
      <c r="S330" s="679" t="n"/>
      <c r="T330" s="680" t="n"/>
      <c r="U330" s="218" t="n"/>
      <c r="V330" s="679" t="n"/>
      <c r="W330" s="679" t="n"/>
      <c r="X330" s="680" t="n"/>
      <c r="Y330" s="748" t="n"/>
      <c r="Z330" s="663" t="n"/>
      <c r="AA330" s="664" t="n"/>
      <c r="AB330" s="52" t="n"/>
      <c r="AC330" s="9" t="n"/>
    </row>
    <row r="331" ht="51.9" customHeight="1" thickBot="1">
      <c r="B331" s="187" t="n"/>
      <c r="D331" s="74" t="n"/>
      <c r="E331" s="75" t="n"/>
      <c r="F331" s="75" t="n"/>
      <c r="G331" s="75" t="n"/>
      <c r="H331" s="75" t="n"/>
      <c r="I331" s="75" t="n"/>
      <c r="J331" s="75" t="n"/>
      <c r="K331" s="75" t="n"/>
      <c r="L331" s="75" t="n"/>
      <c r="M331" s="75" t="n"/>
      <c r="N331" s="75" t="n"/>
      <c r="O331" s="75" t="n"/>
      <c r="P331" s="75" t="n"/>
      <c r="Q331" s="75" t="n"/>
      <c r="R331" s="75" t="n"/>
      <c r="S331" s="75" t="n"/>
      <c r="T331" s="75" t="n"/>
      <c r="U331" s="75" t="n"/>
      <c r="V331" s="75" t="n"/>
      <c r="W331" s="75" t="n"/>
      <c r="X331" s="75" t="n"/>
      <c r="Y331" s="76" t="n"/>
      <c r="Z331" s="76" t="n"/>
      <c r="AA331" s="76" t="n"/>
      <c r="AB331" s="50" t="n"/>
      <c r="AC331" s="9" t="n"/>
    </row>
    <row r="332" ht="32.4" customHeight="1" thickBot="1">
      <c r="B332" s="187" t="n"/>
      <c r="D332" s="654" t="inlineStr">
        <is>
          <t>BANCOS</t>
        </is>
      </c>
      <c r="E332" s="655" t="n"/>
      <c r="F332" s="655" t="n"/>
      <c r="G332" s="655" t="n"/>
      <c r="H332" s="655" t="n"/>
      <c r="I332" s="655" t="n"/>
      <c r="J332" s="655" t="n"/>
      <c r="K332" s="655" t="n"/>
      <c r="L332" s="655" t="n"/>
      <c r="M332" s="655" t="n"/>
      <c r="N332" s="655" t="n"/>
      <c r="O332" s="655" t="n"/>
      <c r="P332" s="655" t="n"/>
      <c r="Q332" s="655" t="n"/>
      <c r="R332" s="655" t="n"/>
      <c r="S332" s="655" t="n"/>
      <c r="T332" s="655" t="n"/>
      <c r="U332" s="655" t="n"/>
      <c r="V332" s="655" t="n"/>
      <c r="W332" s="655" t="n"/>
      <c r="X332" s="655" t="n"/>
      <c r="Y332" s="655" t="n"/>
      <c r="Z332" s="655" t="n"/>
      <c r="AA332" s="656" t="n"/>
      <c r="AB332" s="401" t="n"/>
      <c r="AC332" s="9" t="n"/>
    </row>
    <row r="333">
      <c r="B333" s="187" t="n"/>
      <c r="D333" s="77" t="n"/>
      <c r="E333" s="391" t="inlineStr">
        <is>
          <t>BANCO 1</t>
        </is>
      </c>
      <c r="F333" s="693" t="n"/>
      <c r="G333" s="693" t="n"/>
      <c r="H333" s="694" t="n"/>
      <c r="I333" s="391" t="inlineStr">
        <is>
          <t>BANCO 2</t>
        </is>
      </c>
      <c r="J333" s="693" t="n"/>
      <c r="K333" s="693" t="n"/>
      <c r="L333" s="694" t="n"/>
      <c r="M333" s="391" t="inlineStr">
        <is>
          <t>BANCO 3</t>
        </is>
      </c>
      <c r="N333" s="693" t="n"/>
      <c r="O333" s="693" t="n"/>
      <c r="P333" s="694" t="n"/>
      <c r="Q333" s="391" t="inlineStr">
        <is>
          <t>BANCO 4</t>
        </is>
      </c>
      <c r="R333" s="693" t="n"/>
      <c r="S333" s="693" t="n"/>
      <c r="T333" s="694" t="n"/>
      <c r="U333" s="391" t="inlineStr">
        <is>
          <t>BANCO 5</t>
        </is>
      </c>
      <c r="V333" s="693" t="n"/>
      <c r="W333" s="693" t="n"/>
      <c r="X333" s="694" t="n"/>
      <c r="Y333" s="312" t="n"/>
      <c r="Z333" s="29" t="n"/>
      <c r="AA333" s="661" t="n"/>
      <c r="AB333" s="52" t="n"/>
      <c r="AC333" s="9" t="n"/>
    </row>
    <row r="334">
      <c r="B334" s="187">
        <f>IF(LEN(E334)&gt;1,1,0)</f>
        <v/>
      </c>
      <c r="C334" s="190">
        <f>IF(B334=0,"*","")</f>
        <v/>
      </c>
      <c r="D334" s="241" t="inlineStr">
        <is>
          <t>Razón social del Banco:</t>
        </is>
      </c>
      <c r="E334" s="783" t="inlineStr">
        <is>
          <t>Banco de la Nación Argentina (CBU 0110499230049924833665)</t>
        </is>
      </c>
      <c r="F334" s="671" t="n"/>
      <c r="G334" s="671" t="n"/>
      <c r="H334" s="672" t="n"/>
      <c r="I334" s="237" t="n"/>
      <c r="J334" s="671" t="n"/>
      <c r="K334" s="671" t="n"/>
      <c r="L334" s="672" t="n"/>
      <c r="M334" s="237" t="n"/>
      <c r="N334" s="671" t="n"/>
      <c r="O334" s="671" t="n"/>
      <c r="P334" s="672" t="n"/>
      <c r="Q334" s="237" t="n"/>
      <c r="R334" s="671" t="n"/>
      <c r="S334" s="671" t="n"/>
      <c r="T334" s="672" t="n"/>
      <c r="U334" s="237" t="n"/>
      <c r="V334" s="671" t="n"/>
      <c r="W334" s="671" t="n"/>
      <c r="X334" s="672" t="n"/>
      <c r="Y334" s="29" t="n"/>
      <c r="Z334" s="29" t="n"/>
      <c r="AA334" s="661" t="n"/>
      <c r="AB334" s="52" t="n"/>
      <c r="AC334" s="9" t="n"/>
    </row>
    <row r="335">
      <c r="B335" s="187">
        <f>IF(LEN(E335)&gt;1,1,0)</f>
        <v/>
      </c>
      <c r="C335" s="190">
        <f>IF(B335=0,"*","")</f>
        <v/>
      </c>
      <c r="D335" s="241" t="inlineStr">
        <is>
          <t>Ciudad:</t>
        </is>
      </c>
      <c r="E335" s="783" t="inlineStr">
        <is>
          <t>Santiago del Estero</t>
        </is>
      </c>
      <c r="F335" s="671" t="n"/>
      <c r="G335" s="671" t="n"/>
      <c r="H335" s="672" t="n"/>
      <c r="I335" s="237" t="n"/>
      <c r="J335" s="671" t="n"/>
      <c r="K335" s="671" t="n"/>
      <c r="L335" s="672" t="n"/>
      <c r="M335" s="237" t="n"/>
      <c r="N335" s="671" t="n"/>
      <c r="O335" s="671" t="n"/>
      <c r="P335" s="672" t="n"/>
      <c r="Q335" s="237" t="n"/>
      <c r="R335" s="671" t="n"/>
      <c r="S335" s="671" t="n"/>
      <c r="T335" s="672" t="n"/>
      <c r="U335" s="237" t="n"/>
      <c r="V335" s="671" t="n"/>
      <c r="W335" s="671" t="n"/>
      <c r="X335" s="672" t="n"/>
      <c r="Y335" s="29" t="n"/>
      <c r="Z335" s="29" t="n"/>
      <c r="AA335" s="661" t="n"/>
      <c r="AB335" s="52" t="n"/>
      <c r="AC335" s="9" t="n"/>
    </row>
    <row r="336" ht="27" customHeight="1" thickBot="1">
      <c r="B336" s="187">
        <f>IF(LEN(E336)&gt;1,1,0)</f>
        <v/>
      </c>
      <c r="C336" s="190">
        <f>IF(B336=0,"*","")</f>
        <v/>
      </c>
      <c r="D336" s="242" t="inlineStr">
        <is>
          <t>Estado:</t>
        </is>
      </c>
      <c r="E336" s="791" t="inlineStr">
        <is>
          <t>Santiago del Estero</t>
        </is>
      </c>
      <c r="F336" s="679" t="n"/>
      <c r="G336" s="679" t="n"/>
      <c r="H336" s="680" t="n"/>
      <c r="I336" s="372" t="n"/>
      <c r="J336" s="679" t="n"/>
      <c r="K336" s="679" t="n"/>
      <c r="L336" s="680" t="n"/>
      <c r="M336" s="372" t="n"/>
      <c r="N336" s="679" t="n"/>
      <c r="O336" s="679" t="n"/>
      <c r="P336" s="680" t="n"/>
      <c r="Q336" s="372" t="n"/>
      <c r="R336" s="679" t="n"/>
      <c r="S336" s="679" t="n"/>
      <c r="T336" s="680" t="n"/>
      <c r="U336" s="372" t="n"/>
      <c r="V336" s="679" t="n"/>
      <c r="W336" s="679" t="n"/>
      <c r="X336" s="680" t="n"/>
      <c r="Y336" s="663" t="n"/>
      <c r="Z336" s="663" t="n"/>
      <c r="AA336" s="664" t="n"/>
      <c r="AB336" s="52" t="n"/>
      <c r="AC336" s="9" t="n"/>
    </row>
    <row r="337" ht="27" customHeight="1" thickBot="1">
      <c r="B337" s="187" t="n"/>
      <c r="E337" s="624" t="n"/>
      <c r="F337" s="624" t="n"/>
      <c r="G337" s="624" t="n"/>
      <c r="H337" s="624" t="n"/>
      <c r="I337" s="624" t="n"/>
      <c r="J337" s="624" t="n"/>
      <c r="K337" s="624" t="n"/>
      <c r="L337" s="624" t="n"/>
      <c r="M337" s="624" t="n"/>
      <c r="N337" s="624" t="n"/>
      <c r="O337" s="624" t="n"/>
      <c r="P337" s="624" t="n"/>
      <c r="Q337" s="624" t="n"/>
      <c r="R337" s="624" t="n"/>
      <c r="S337" s="624" t="n"/>
      <c r="T337" s="624" t="n"/>
      <c r="U337" s="624" t="n"/>
      <c r="V337" s="624" t="n"/>
      <c r="W337" s="624" t="n"/>
      <c r="X337" s="624" t="n"/>
      <c r="Y337" s="308" t="n"/>
      <c r="Z337" s="308" t="n"/>
      <c r="AA337" s="308" t="n"/>
      <c r="AB337" s="52" t="n"/>
      <c r="AC337" s="9" t="n"/>
    </row>
    <row r="338" ht="32.1" customHeight="1">
      <c r="B338" s="187">
        <f>SUM(B340:B435)/COUNT(B340:B435)</f>
        <v/>
      </c>
      <c r="D338" s="807" t="inlineStr">
        <is>
          <t>INFORMACIÓN FINANCIERA   (Si lo desea, puede enviar el estado financiero por mail)</t>
        </is>
      </c>
      <c r="E338" s="808" t="n"/>
      <c r="F338" s="808" t="n"/>
      <c r="G338" s="808" t="n"/>
      <c r="H338" s="808" t="n"/>
      <c r="I338" s="808" t="n"/>
      <c r="J338" s="808" t="n"/>
      <c r="K338" s="808" t="n"/>
      <c r="L338" s="808" t="n"/>
      <c r="M338" s="808" t="n"/>
      <c r="N338" s="808" t="n"/>
      <c r="O338" s="808" t="n"/>
      <c r="P338" s="808" t="n"/>
      <c r="Q338" s="808" t="n"/>
      <c r="R338" s="808" t="n"/>
      <c r="S338" s="808" t="n"/>
      <c r="T338" s="808" t="n"/>
      <c r="U338" s="808" t="n"/>
      <c r="V338" s="808" t="n"/>
      <c r="W338" s="808" t="n"/>
      <c r="X338" s="808" t="n"/>
      <c r="Y338" s="808" t="n"/>
      <c r="Z338" s="808" t="n"/>
      <c r="AA338" s="809" t="n"/>
      <c r="AB338" s="113" t="n"/>
      <c r="AC338" s="9" t="n"/>
    </row>
    <row r="339" ht="28.5" customHeight="1" thickBot="1">
      <c r="B339" s="187" t="n"/>
      <c r="D339" s="810" t="inlineStr">
        <is>
          <t>BALANCE GENERAL</t>
        </is>
      </c>
      <c r="E339" s="663" t="n"/>
      <c r="F339" s="663" t="n"/>
      <c r="G339" s="663" t="n"/>
      <c r="H339" s="663" t="n"/>
      <c r="I339" s="663" t="n"/>
      <c r="J339" s="663" t="n"/>
      <c r="K339" s="663" t="n"/>
      <c r="L339" s="663" t="n"/>
      <c r="M339" s="663" t="n"/>
      <c r="N339" s="663" t="n"/>
      <c r="O339" s="663" t="n"/>
      <c r="P339" s="663" t="n"/>
      <c r="Q339" s="663" t="n"/>
      <c r="R339" s="663" t="n"/>
      <c r="S339" s="663" t="n"/>
      <c r="T339" s="663" t="n"/>
      <c r="U339" s="663" t="n"/>
      <c r="V339" s="663" t="n"/>
      <c r="W339" s="663" t="n"/>
      <c r="X339" s="663" t="n"/>
      <c r="Y339" s="663" t="n"/>
      <c r="Z339" s="663" t="n"/>
      <c r="AA339" s="811" t="n"/>
      <c r="AB339" s="153" t="n"/>
      <c r="AC339" s="9" t="n"/>
    </row>
    <row r="340">
      <c r="B340" s="187">
        <f>IF(OR($E$340="Dictaminado",$E$340="Auditado"),1,IF(LEN(E340)&gt;1,1,0))</f>
        <v/>
      </c>
      <c r="C340" s="190">
        <f>IF(B340=0,"*","")</f>
        <v/>
      </c>
      <c r="D340" s="169" t="inlineStr">
        <is>
          <t>Tipo de Balance:</t>
        </is>
      </c>
      <c r="E340" s="432" t="n"/>
      <c r="F340" s="728" t="n"/>
      <c r="G340" s="728" t="n"/>
      <c r="H340" s="728" t="n"/>
      <c r="I340" s="624" t="n"/>
      <c r="J340" s="624" t="n"/>
      <c r="K340" s="624" t="n"/>
      <c r="L340" s="624" t="n"/>
      <c r="M340" s="624" t="n"/>
      <c r="N340" s="624" t="n"/>
      <c r="O340" s="624" t="n"/>
      <c r="P340" s="624" t="n"/>
      <c r="Q340" s="624" t="n"/>
      <c r="R340" s="624" t="n"/>
      <c r="S340" s="624" t="n"/>
      <c r="T340" s="624" t="n"/>
      <c r="U340" s="624" t="n"/>
      <c r="V340" s="624" t="n"/>
      <c r="W340" s="624" t="n"/>
      <c r="X340" s="624" t="n"/>
      <c r="Y340" s="308" t="n"/>
      <c r="Z340" s="308" t="n"/>
      <c r="AA340" s="114" t="n"/>
      <c r="AB340" s="52" t="n"/>
      <c r="AC340" s="9" t="n"/>
    </row>
    <row r="341">
      <c r="B341" s="187">
        <f>IF(OR($E$340="Dictaminado",$E$340="Auditado"),1,IF(LEN(E341)&gt;1,1,0))</f>
        <v/>
      </c>
      <c r="C341" s="190">
        <f>IF(B341=0,"*","")</f>
        <v/>
      </c>
      <c r="D341" s="170" t="inlineStr">
        <is>
          <t>Cifras en:</t>
        </is>
      </c>
      <c r="E341" s="432" t="n"/>
      <c r="F341" s="728" t="n"/>
      <c r="G341" s="728" t="n"/>
      <c r="H341" s="728" t="n"/>
      <c r="I341" s="624" t="n"/>
      <c r="J341" s="624" t="n"/>
      <c r="K341" s="624" t="n"/>
      <c r="L341" s="624" t="n"/>
      <c r="M341" s="624" t="n"/>
      <c r="N341" s="624" t="n"/>
      <c r="O341" s="624" t="n"/>
      <c r="P341" s="624" t="n"/>
      <c r="Q341" s="624" t="n"/>
      <c r="R341" s="624" t="n"/>
      <c r="S341" s="624" t="n"/>
      <c r="T341" s="624" t="n"/>
      <c r="U341" s="624" t="n"/>
      <c r="V341" s="624" t="n"/>
      <c r="W341" s="624" t="n"/>
      <c r="X341" s="624" t="n"/>
      <c r="Y341" s="308" t="n"/>
      <c r="Z341" s="308" t="n"/>
      <c r="AA341" s="114" t="n"/>
      <c r="AB341" s="52" t="n"/>
      <c r="AC341" s="9" t="n"/>
    </row>
    <row r="342">
      <c r="B342" s="187" t="n"/>
      <c r="D342" s="812">
        <f>IF(OR($E$340="Dictaminado",$E$340="Auditado"),"Para este tipo de balance es necesario enviar el documento en PDF por correo y llene solo la sección parcial en este documento","")</f>
        <v/>
      </c>
      <c r="E342" s="29" t="n"/>
      <c r="F342" s="29" t="n"/>
      <c r="G342" s="29" t="n"/>
      <c r="H342" s="29" t="n"/>
      <c r="I342" s="29" t="n"/>
      <c r="J342" s="29" t="n"/>
      <c r="K342" s="29" t="n"/>
      <c r="L342" s="29" t="n"/>
      <c r="M342" s="29" t="n"/>
      <c r="N342" s="29" t="n"/>
      <c r="O342" s="29" t="n"/>
      <c r="P342" s="29" t="n"/>
      <c r="Q342" s="29" t="n"/>
      <c r="R342" s="29" t="n"/>
      <c r="S342" s="29" t="n"/>
      <c r="T342" s="29" t="n"/>
      <c r="U342" s="29" t="n"/>
      <c r="V342" s="29" t="n"/>
      <c r="W342" s="29" t="n"/>
      <c r="X342" s="29" t="n"/>
      <c r="Y342" s="29" t="n"/>
      <c r="Z342" s="29" t="n"/>
      <c r="AA342" s="813" t="n"/>
      <c r="AB342" s="52" t="n"/>
      <c r="AC342" s="9" t="n"/>
    </row>
    <row r="343" ht="35.1" customHeight="1">
      <c r="B343" s="187" t="n"/>
      <c r="D343" s="115" t="n"/>
      <c r="E343" s="410" t="inlineStr">
        <is>
          <t>ACTIVO</t>
        </is>
      </c>
      <c r="F343" s="773" t="n"/>
      <c r="G343" s="773" t="n"/>
      <c r="H343" s="773" t="n"/>
      <c r="I343" s="773" t="n"/>
      <c r="J343" s="773" t="n"/>
      <c r="K343" s="773" t="n"/>
      <c r="L343" s="773" t="n"/>
      <c r="M343" s="773" t="n"/>
      <c r="N343" s="773" t="n"/>
      <c r="O343" s="773" t="n"/>
      <c r="P343" s="774" t="n"/>
      <c r="Q343" s="410" t="inlineStr">
        <is>
          <t>PASIVO</t>
        </is>
      </c>
      <c r="R343" s="773" t="n"/>
      <c r="S343" s="773" t="n"/>
      <c r="T343" s="773" t="n"/>
      <c r="U343" s="773" t="n"/>
      <c r="V343" s="773" t="n"/>
      <c r="W343" s="773" t="n"/>
      <c r="X343" s="773" t="n"/>
      <c r="Y343" s="773" t="n"/>
      <c r="Z343" s="773" t="n"/>
      <c r="AA343" s="774" t="n"/>
      <c r="AB343" s="113" t="n"/>
      <c r="AC343" s="9" t="n"/>
    </row>
    <row r="344" ht="25.5" customHeight="1">
      <c r="B344" s="187" t="n"/>
      <c r="D344" s="116" t="inlineStr">
        <is>
          <t>CONCEPTO</t>
        </is>
      </c>
      <c r="E344" s="441">
        <f>YEAR(TODAY()-1095)</f>
        <v/>
      </c>
      <c r="F344" s="671" t="n"/>
      <c r="G344" s="672" t="n"/>
      <c r="H344" s="441">
        <f>YEAR(TODAY()-730)</f>
        <v/>
      </c>
      <c r="I344" s="671" t="n"/>
      <c r="J344" s="672" t="n"/>
      <c r="K344" s="441">
        <f>YEAR(TODAY()-365)</f>
        <v/>
      </c>
      <c r="L344" s="671" t="n"/>
      <c r="M344" s="672" t="n"/>
      <c r="N344" s="443" t="inlineStr">
        <is>
          <t>CUENTA</t>
        </is>
      </c>
      <c r="O344" s="671" t="n"/>
      <c r="P344" s="671" t="n"/>
      <c r="Q344" s="671" t="n"/>
      <c r="R344" s="672" t="n"/>
      <c r="S344" s="441">
        <f>YEAR(TODAY()-1095)</f>
        <v/>
      </c>
      <c r="T344" s="671" t="n"/>
      <c r="U344" s="672" t="n"/>
      <c r="V344" s="441">
        <f>YEAR(TODAY()-730)</f>
        <v/>
      </c>
      <c r="W344" s="671" t="n"/>
      <c r="X344" s="672" t="n"/>
      <c r="Y344" s="441">
        <f>YEAR(TODAY()-365)</f>
        <v/>
      </c>
      <c r="Z344" s="671" t="n"/>
      <c r="AA344" s="672" t="n"/>
      <c r="AB344" s="142" t="n"/>
      <c r="AC344" s="9" t="n"/>
    </row>
    <row r="345" ht="25.5" customHeight="1">
      <c r="B345" s="187" t="n"/>
      <c r="D345" s="117" t="inlineStr">
        <is>
          <t>Caja y Bancos</t>
        </is>
      </c>
      <c r="E345" s="814" t="n"/>
      <c r="F345" s="735" t="n"/>
      <c r="G345" s="736" t="n"/>
      <c r="H345" s="814" t="n"/>
      <c r="I345" s="735" t="n"/>
      <c r="J345" s="736" t="n"/>
      <c r="K345" s="814" t="n"/>
      <c r="L345" s="735" t="n"/>
      <c r="M345" s="736" t="n"/>
      <c r="N345" s="398" t="inlineStr">
        <is>
          <t>Bancos Corto Plazo</t>
        </is>
      </c>
      <c r="O345" s="773" t="n"/>
      <c r="P345" s="773" t="n"/>
      <c r="Q345" s="773" t="n"/>
      <c r="R345" s="774" t="n"/>
      <c r="S345" s="814" t="n"/>
      <c r="T345" s="735" t="n"/>
      <c r="U345" s="736" t="n"/>
      <c r="V345" s="814" t="n"/>
      <c r="W345" s="735" t="n"/>
      <c r="X345" s="736" t="n"/>
      <c r="Y345" s="814" t="n"/>
      <c r="Z345" s="735" t="n"/>
      <c r="AA345" s="736" t="n"/>
      <c r="AB345" s="154" t="n"/>
      <c r="AC345" s="9" t="n"/>
    </row>
    <row r="346" ht="25.5" customHeight="1">
      <c r="B346" s="187" t="n"/>
      <c r="D346" s="117" t="inlineStr">
        <is>
          <t>Inversiones</t>
        </is>
      </c>
      <c r="E346" s="814" t="n"/>
      <c r="F346" s="735" t="n"/>
      <c r="G346" s="736" t="n"/>
      <c r="H346" s="814" t="n"/>
      <c r="I346" s="735" t="n"/>
      <c r="J346" s="736" t="n"/>
      <c r="K346" s="814" t="n"/>
      <c r="L346" s="735" t="n"/>
      <c r="M346" s="736" t="n"/>
      <c r="N346" s="397" t="inlineStr">
        <is>
          <t>Documentos por Pagar</t>
        </is>
      </c>
      <c r="O346" s="773" t="n"/>
      <c r="P346" s="773" t="n"/>
      <c r="Q346" s="773" t="n"/>
      <c r="R346" s="774" t="n"/>
      <c r="S346" s="814" t="n"/>
      <c r="T346" s="735" t="n"/>
      <c r="U346" s="736" t="n"/>
      <c r="V346" s="814" t="n"/>
      <c r="W346" s="735" t="n"/>
      <c r="X346" s="736" t="n"/>
      <c r="Y346" s="814" t="n"/>
      <c r="Z346" s="735" t="n"/>
      <c r="AA346" s="736" t="n"/>
      <c r="AB346" s="154" t="n"/>
      <c r="AC346" s="9" t="n"/>
    </row>
    <row r="347" ht="25.5" customHeight="1">
      <c r="B347" s="187" t="n"/>
      <c r="D347" s="117" t="inlineStr">
        <is>
          <t>Cuentas por Cobrar</t>
        </is>
      </c>
      <c r="E347" s="814" t="n"/>
      <c r="F347" s="735" t="n"/>
      <c r="G347" s="736" t="n"/>
      <c r="H347" s="814" t="n"/>
      <c r="I347" s="735" t="n"/>
      <c r="J347" s="736" t="n"/>
      <c r="K347" s="814" t="n"/>
      <c r="L347" s="735" t="n"/>
      <c r="M347" s="736" t="n"/>
      <c r="N347" s="398" t="inlineStr">
        <is>
          <t>Proveedores</t>
        </is>
      </c>
      <c r="O347" s="773" t="n"/>
      <c r="P347" s="773" t="n"/>
      <c r="Q347" s="773" t="n"/>
      <c r="R347" s="774" t="n"/>
      <c r="S347" s="814" t="n"/>
      <c r="T347" s="735" t="n"/>
      <c r="U347" s="736" t="n"/>
      <c r="V347" s="814" t="n"/>
      <c r="W347" s="735" t="n"/>
      <c r="X347" s="736" t="n"/>
      <c r="Y347" s="814" t="n"/>
      <c r="Z347" s="735" t="n"/>
      <c r="AA347" s="736" t="n"/>
      <c r="AB347" s="154" t="n"/>
      <c r="AC347" s="9" t="n"/>
    </row>
    <row r="348" ht="25.5" customHeight="1">
      <c r="B348" s="187" t="n"/>
      <c r="D348" s="117" t="inlineStr">
        <is>
          <t>Clientes</t>
        </is>
      </c>
      <c r="E348" s="814" t="n"/>
      <c r="F348" s="735" t="n"/>
      <c r="G348" s="736" t="n"/>
      <c r="H348" s="814" t="n"/>
      <c r="I348" s="735" t="n"/>
      <c r="J348" s="736" t="n"/>
      <c r="K348" s="814" t="n"/>
      <c r="L348" s="735" t="n"/>
      <c r="M348" s="736" t="n"/>
      <c r="N348" s="398" t="inlineStr">
        <is>
          <t>Acreedores Diversos</t>
        </is>
      </c>
      <c r="O348" s="773" t="n"/>
      <c r="P348" s="773" t="n"/>
      <c r="Q348" s="773" t="n"/>
      <c r="R348" s="774" t="n"/>
      <c r="S348" s="814" t="n"/>
      <c r="T348" s="735" t="n"/>
      <c r="U348" s="736" t="n"/>
      <c r="V348" s="814" t="n"/>
      <c r="W348" s="735" t="n"/>
      <c r="X348" s="736" t="n"/>
      <c r="Y348" s="814" t="n"/>
      <c r="Z348" s="735" t="n"/>
      <c r="AA348" s="736" t="n"/>
      <c r="AB348" s="154" t="n"/>
      <c r="AC348" s="9" t="n"/>
    </row>
    <row r="349" ht="25.5" customHeight="1">
      <c r="B349" s="187" t="n"/>
      <c r="D349" s="117" t="inlineStr">
        <is>
          <t>Deudores Diversos</t>
        </is>
      </c>
      <c r="E349" s="814" t="n"/>
      <c r="F349" s="735" t="n"/>
      <c r="G349" s="736" t="n"/>
      <c r="H349" s="814" t="n"/>
      <c r="I349" s="735" t="n"/>
      <c r="J349" s="736" t="n"/>
      <c r="K349" s="814" t="n"/>
      <c r="L349" s="735" t="n"/>
      <c r="M349" s="736" t="n"/>
      <c r="N349" s="398" t="inlineStr">
        <is>
          <t>Impuestos por Pagar</t>
        </is>
      </c>
      <c r="O349" s="773" t="n"/>
      <c r="P349" s="773" t="n"/>
      <c r="Q349" s="773" t="n"/>
      <c r="R349" s="774" t="n"/>
      <c r="S349" s="814" t="n"/>
      <c r="T349" s="735" t="n"/>
      <c r="U349" s="736" t="n"/>
      <c r="V349" s="814" t="n"/>
      <c r="W349" s="735" t="n"/>
      <c r="X349" s="736" t="n"/>
      <c r="Y349" s="814" t="n"/>
      <c r="Z349" s="735" t="n"/>
      <c r="AA349" s="736" t="n"/>
      <c r="AB349" s="154" t="n"/>
      <c r="AC349" s="9" t="n"/>
    </row>
    <row r="350" ht="25.5" customHeight="1">
      <c r="B350" s="187" t="n"/>
      <c r="D350" s="117" t="inlineStr">
        <is>
          <t>Inventario Total</t>
        </is>
      </c>
      <c r="E350" s="814" t="n"/>
      <c r="F350" s="735" t="n"/>
      <c r="G350" s="736" t="n"/>
      <c r="H350" s="814" t="n"/>
      <c r="I350" s="735" t="n"/>
      <c r="J350" s="736" t="n"/>
      <c r="K350" s="814" t="n"/>
      <c r="L350" s="735" t="n"/>
      <c r="M350" s="736" t="n"/>
      <c r="N350" s="398" t="inlineStr">
        <is>
          <t>Anticipo a Clientes</t>
        </is>
      </c>
      <c r="O350" s="773" t="n"/>
      <c r="P350" s="773" t="n"/>
      <c r="Q350" s="773" t="n"/>
      <c r="R350" s="774" t="n"/>
      <c r="S350" s="814" t="n"/>
      <c r="T350" s="735" t="n"/>
      <c r="U350" s="736" t="n"/>
      <c r="V350" s="814" t="n"/>
      <c r="W350" s="735" t="n"/>
      <c r="X350" s="736" t="n"/>
      <c r="Y350" s="814" t="n"/>
      <c r="Z350" s="735" t="n"/>
      <c r="AA350" s="736" t="n"/>
      <c r="AB350" s="154" t="n"/>
      <c r="AC350" s="9" t="n"/>
    </row>
    <row r="351" ht="25.5" customHeight="1">
      <c r="B351" s="187" t="n"/>
      <c r="D351" s="117" t="inlineStr">
        <is>
          <t>Anticipo a Proveedores</t>
        </is>
      </c>
      <c r="E351" s="814" t="n"/>
      <c r="F351" s="735" t="n"/>
      <c r="G351" s="736" t="n"/>
      <c r="H351" s="814" t="n"/>
      <c r="I351" s="735" t="n"/>
      <c r="J351" s="736" t="n"/>
      <c r="K351" s="814" t="n"/>
      <c r="L351" s="735" t="n"/>
      <c r="M351" s="736" t="n"/>
      <c r="N351" s="398" t="inlineStr">
        <is>
          <t>Intercompañías</t>
        </is>
      </c>
      <c r="O351" s="773" t="n"/>
      <c r="P351" s="773" t="n"/>
      <c r="Q351" s="773" t="n"/>
      <c r="R351" s="774" t="n"/>
      <c r="S351" s="814" t="n"/>
      <c r="T351" s="735" t="n"/>
      <c r="U351" s="736" t="n"/>
      <c r="V351" s="814" t="n"/>
      <c r="W351" s="735" t="n"/>
      <c r="X351" s="736" t="n"/>
      <c r="Y351" s="814" t="n"/>
      <c r="Z351" s="735" t="n"/>
      <c r="AA351" s="736" t="n"/>
      <c r="AB351" s="154" t="n"/>
      <c r="AC351" s="9" t="n"/>
    </row>
    <row r="352" ht="25.5" customHeight="1">
      <c r="B352" s="187" t="n"/>
      <c r="D352" s="117" t="inlineStr">
        <is>
          <t>Anticipo a Clientes</t>
        </is>
      </c>
      <c r="E352" s="814" t="n"/>
      <c r="F352" s="735" t="n"/>
      <c r="G352" s="736" t="n"/>
      <c r="H352" s="814" t="n"/>
      <c r="I352" s="735" t="n"/>
      <c r="J352" s="736" t="n"/>
      <c r="K352" s="814" t="n"/>
      <c r="L352" s="735" t="n"/>
      <c r="M352" s="736" t="n"/>
      <c r="N352" s="398" t="inlineStr">
        <is>
          <t>Reservas</t>
        </is>
      </c>
      <c r="O352" s="773" t="n"/>
      <c r="P352" s="773" t="n"/>
      <c r="Q352" s="773" t="n"/>
      <c r="R352" s="774" t="n"/>
      <c r="S352" s="814" t="n"/>
      <c r="T352" s="735" t="n"/>
      <c r="U352" s="736" t="n"/>
      <c r="V352" s="814" t="n"/>
      <c r="W352" s="735" t="n"/>
      <c r="X352" s="736" t="n"/>
      <c r="Y352" s="814" t="n"/>
      <c r="Z352" s="735" t="n"/>
      <c r="AA352" s="736" t="n"/>
      <c r="AB352" s="154" t="n"/>
      <c r="AC352" s="9" t="n"/>
    </row>
    <row r="353" ht="25.5" customHeight="1">
      <c r="B353" s="187" t="n"/>
      <c r="D353" s="117" t="inlineStr">
        <is>
          <t>Otros Activos Corrientes</t>
        </is>
      </c>
      <c r="E353" s="814" t="n"/>
      <c r="F353" s="735" t="n"/>
      <c r="G353" s="736" t="n"/>
      <c r="H353" s="814" t="n"/>
      <c r="I353" s="735" t="n"/>
      <c r="J353" s="736" t="n"/>
      <c r="K353" s="814" t="n"/>
      <c r="L353" s="735" t="n"/>
      <c r="M353" s="736" t="n"/>
      <c r="N353" s="398" t="inlineStr">
        <is>
          <t>Otros Pasivos a Corto Plazo</t>
        </is>
      </c>
      <c r="O353" s="773" t="n"/>
      <c r="P353" s="773" t="n"/>
      <c r="Q353" s="773" t="n"/>
      <c r="R353" s="774" t="n"/>
      <c r="S353" s="814" t="n"/>
      <c r="T353" s="735" t="n"/>
      <c r="U353" s="736" t="n"/>
      <c r="V353" s="814" t="n"/>
      <c r="W353" s="735" t="n"/>
      <c r="X353" s="736" t="n"/>
      <c r="Y353" s="814" t="n"/>
      <c r="Z353" s="735" t="n"/>
      <c r="AA353" s="736" t="n"/>
      <c r="AB353" s="154" t="n"/>
      <c r="AC353" s="9" t="n"/>
    </row>
    <row r="354" ht="25.5" customHeight="1">
      <c r="B354" s="187" t="n"/>
      <c r="D354" s="118" t="n"/>
      <c r="E354" s="383" t="n"/>
      <c r="F354" s="815" t="n"/>
      <c r="G354" s="816" t="n"/>
      <c r="H354" s="383" t="n"/>
      <c r="I354" s="815" t="n"/>
      <c r="J354" s="816" t="n"/>
      <c r="K354" s="383" t="n"/>
      <c r="L354" s="815" t="n"/>
      <c r="M354" s="816" t="n"/>
      <c r="N354" s="422" t="n"/>
      <c r="O354" s="773" t="n"/>
      <c r="P354" s="773" t="n"/>
      <c r="Q354" s="773" t="n"/>
      <c r="R354" s="774" t="n"/>
      <c r="S354" s="367" t="n"/>
      <c r="T354" s="773" t="n"/>
      <c r="U354" s="774" t="n"/>
      <c r="V354" s="367" t="n"/>
      <c r="W354" s="773" t="n"/>
      <c r="X354" s="774" t="n"/>
      <c r="Y354" s="367" t="n"/>
      <c r="Z354" s="773" t="n"/>
      <c r="AA354" s="774" t="n"/>
      <c r="AB354" s="155" t="n"/>
      <c r="AC354" s="9" t="n"/>
    </row>
    <row r="355" ht="25.5" customHeight="1">
      <c r="B355" s="187" t="n"/>
      <c r="D355" s="119" t="inlineStr">
        <is>
          <t>Activo Corriente</t>
        </is>
      </c>
      <c r="E355" s="381">
        <f>SUM(E345:G353)</f>
        <v/>
      </c>
      <c r="F355" s="815" t="n"/>
      <c r="G355" s="816" t="n"/>
      <c r="H355" s="381">
        <f>SUM(H345:J353)</f>
        <v/>
      </c>
      <c r="I355" s="815" t="n"/>
      <c r="J355" s="816" t="n"/>
      <c r="K355" s="381">
        <f>SUM(K345:M353)</f>
        <v/>
      </c>
      <c r="L355" s="815" t="n"/>
      <c r="M355" s="816" t="n"/>
      <c r="N355" s="421" t="inlineStr">
        <is>
          <t>Pasivo Corriente</t>
        </is>
      </c>
      <c r="O355" s="773" t="n"/>
      <c r="P355" s="773" t="n"/>
      <c r="Q355" s="773" t="n"/>
      <c r="R355" s="774" t="n"/>
      <c r="S355" s="381">
        <f>SUM(S345:U353)</f>
        <v/>
      </c>
      <c r="T355" s="815" t="n"/>
      <c r="U355" s="816" t="n"/>
      <c r="V355" s="381">
        <f>SUM(V345:X353)</f>
        <v/>
      </c>
      <c r="W355" s="815" t="n"/>
      <c r="X355" s="816" t="n"/>
      <c r="Y355" s="381">
        <f>SUM(Y345:AA353)</f>
        <v/>
      </c>
      <c r="Z355" s="815" t="n"/>
      <c r="AA355" s="816" t="n"/>
      <c r="AB355" s="156" t="n"/>
      <c r="AC355" s="9" t="n"/>
    </row>
    <row r="356" ht="25.5" customHeight="1">
      <c r="B356" s="187" t="n"/>
      <c r="D356" s="120" t="inlineStr">
        <is>
          <t>Inmuebles</t>
        </is>
      </c>
      <c r="E356" s="814" t="n"/>
      <c r="F356" s="735" t="n"/>
      <c r="G356" s="736" t="n"/>
      <c r="H356" s="814" t="n"/>
      <c r="I356" s="735" t="n"/>
      <c r="J356" s="736" t="n"/>
      <c r="K356" s="814" t="n"/>
      <c r="L356" s="735" t="n"/>
      <c r="M356" s="736" t="n"/>
      <c r="N356" s="403" t="inlineStr">
        <is>
          <t>Deuda Bancaria</t>
        </is>
      </c>
      <c r="O356" s="773" t="n"/>
      <c r="P356" s="773" t="n"/>
      <c r="Q356" s="773" t="n"/>
      <c r="R356" s="774" t="n"/>
      <c r="S356" s="814" t="n"/>
      <c r="T356" s="735" t="n"/>
      <c r="U356" s="736" t="n"/>
      <c r="V356" s="814" t="n"/>
      <c r="W356" s="735" t="n"/>
      <c r="X356" s="736" t="n"/>
      <c r="Y356" s="814" t="n"/>
      <c r="Z356" s="735" t="n"/>
      <c r="AA356" s="736" t="n"/>
      <c r="AB356" s="157" t="n"/>
      <c r="AC356" s="9" t="n"/>
    </row>
    <row r="357" ht="25.5" customHeight="1">
      <c r="B357" s="187" t="n"/>
      <c r="D357" s="120" t="inlineStr">
        <is>
          <t>Maquinaria y Equipo</t>
        </is>
      </c>
      <c r="E357" s="814" t="n"/>
      <c r="F357" s="735" t="n"/>
      <c r="G357" s="736" t="n"/>
      <c r="H357" s="814" t="n"/>
      <c r="I357" s="735" t="n"/>
      <c r="J357" s="736" t="n"/>
      <c r="K357" s="814" t="n"/>
      <c r="L357" s="735" t="n"/>
      <c r="M357" s="736" t="n"/>
      <c r="N357" s="403" t="inlineStr">
        <is>
          <t>Ctas por pagar a LP</t>
        </is>
      </c>
      <c r="O357" s="773" t="n"/>
      <c r="P357" s="773" t="n"/>
      <c r="Q357" s="773" t="n"/>
      <c r="R357" s="774" t="n"/>
      <c r="S357" s="814" t="n"/>
      <c r="T357" s="735" t="n"/>
      <c r="U357" s="736" t="n"/>
      <c r="V357" s="814" t="n"/>
      <c r="W357" s="735" t="n"/>
      <c r="X357" s="736" t="n"/>
      <c r="Y357" s="814" t="n"/>
      <c r="Z357" s="735" t="n"/>
      <c r="AA357" s="736" t="n"/>
      <c r="AB357" s="157" t="n"/>
      <c r="AC357" s="9" t="n"/>
    </row>
    <row r="358" ht="25.5" customHeight="1">
      <c r="B358" s="187" t="n"/>
      <c r="D358" s="120" t="inlineStr">
        <is>
          <t>Otros activos fijos</t>
        </is>
      </c>
      <c r="E358" s="814" t="n"/>
      <c r="F358" s="735" t="n"/>
      <c r="G358" s="736" t="n"/>
      <c r="H358" s="814" t="n"/>
      <c r="I358" s="735" t="n"/>
      <c r="J358" s="736" t="n"/>
      <c r="K358" s="814" t="n"/>
      <c r="L358" s="735" t="n"/>
      <c r="M358" s="736" t="n"/>
      <c r="N358" s="421" t="inlineStr">
        <is>
          <t>Pasivo a Largo Plazo</t>
        </is>
      </c>
      <c r="O358" s="773" t="n"/>
      <c r="P358" s="773" t="n"/>
      <c r="Q358" s="773" t="n"/>
      <c r="R358" s="774" t="n"/>
      <c r="S358" s="381">
        <f>SUM(S356:U357)</f>
        <v/>
      </c>
      <c r="T358" s="815" t="n"/>
      <c r="U358" s="816" t="n"/>
      <c r="V358" s="381">
        <f>SUM(V356:X357)</f>
        <v/>
      </c>
      <c r="W358" s="815" t="n"/>
      <c r="X358" s="816" t="n"/>
      <c r="Y358" s="381">
        <f>SUM(Y356:AA357)</f>
        <v/>
      </c>
      <c r="Z358" s="815" t="n"/>
      <c r="AA358" s="816" t="n"/>
      <c r="AB358" s="156" t="n"/>
      <c r="AC358" s="9" t="n"/>
    </row>
    <row r="359" ht="25.5" customHeight="1">
      <c r="B359" s="187" t="n"/>
      <c r="D359" s="119" t="inlineStr">
        <is>
          <t>Activo Fijo</t>
        </is>
      </c>
      <c r="E359" s="381">
        <f>SUM(E356:G358)</f>
        <v/>
      </c>
      <c r="F359" s="815" t="n"/>
      <c r="G359" s="816" t="n"/>
      <c r="H359" s="381">
        <f>SUM(H356:J358)</f>
        <v/>
      </c>
      <c r="I359" s="815" t="n"/>
      <c r="J359" s="816" t="n"/>
      <c r="K359" s="381">
        <f>SUM(K356:M358)</f>
        <v/>
      </c>
      <c r="L359" s="815" t="n"/>
      <c r="M359" s="816" t="n"/>
      <c r="N359" s="422" t="n"/>
      <c r="O359" s="773" t="n"/>
      <c r="P359" s="773" t="n"/>
      <c r="Q359" s="773" t="n"/>
      <c r="R359" s="774" t="n"/>
      <c r="S359" s="367" t="n"/>
      <c r="T359" s="773" t="n"/>
      <c r="U359" s="774" t="n"/>
      <c r="V359" s="367" t="n"/>
      <c r="W359" s="773" t="n"/>
      <c r="X359" s="774" t="n"/>
      <c r="Y359" s="367" t="n"/>
      <c r="Z359" s="773" t="n"/>
      <c r="AA359" s="774" t="n"/>
      <c r="AB359" s="155" t="n"/>
      <c r="AC359" s="9" t="n"/>
    </row>
    <row r="360" ht="25.5" customHeight="1">
      <c r="B360" s="187" t="n"/>
      <c r="D360" s="120" t="inlineStr">
        <is>
          <t>Gastos Anticipados</t>
        </is>
      </c>
      <c r="E360" s="814" t="n"/>
      <c r="F360" s="735" t="n"/>
      <c r="G360" s="736" t="n"/>
      <c r="H360" s="814" t="n"/>
      <c r="I360" s="735" t="n"/>
      <c r="J360" s="736" t="n"/>
      <c r="K360" s="814" t="n"/>
      <c r="L360" s="735" t="n"/>
      <c r="M360" s="736" t="n"/>
      <c r="N360" s="421" t="inlineStr">
        <is>
          <t>Pasivo total</t>
        </is>
      </c>
      <c r="O360" s="773" t="n"/>
      <c r="P360" s="773" t="n"/>
      <c r="Q360" s="773" t="n"/>
      <c r="R360" s="774" t="n"/>
      <c r="S360" s="381">
        <f>SUM(S355+S358)</f>
        <v/>
      </c>
      <c r="T360" s="815" t="n"/>
      <c r="U360" s="816" t="n"/>
      <c r="V360" s="381">
        <f>SUM(V355+V358)</f>
        <v/>
      </c>
      <c r="W360" s="815" t="n"/>
      <c r="X360" s="816" t="n"/>
      <c r="Y360" s="381">
        <f>SUM(Y355+Y358)</f>
        <v/>
      </c>
      <c r="Z360" s="815" t="n"/>
      <c r="AA360" s="816" t="n"/>
      <c r="AB360" s="156" t="n"/>
      <c r="AC360" s="9" t="n"/>
    </row>
    <row r="361" ht="25.5" customHeight="1">
      <c r="B361" s="187" t="n"/>
      <c r="D361" s="120" t="inlineStr">
        <is>
          <t>Impuestos Diferidos</t>
        </is>
      </c>
      <c r="E361" s="814" t="n"/>
      <c r="F361" s="735" t="n"/>
      <c r="G361" s="736" t="n"/>
      <c r="H361" s="814" t="n"/>
      <c r="I361" s="735" t="n"/>
      <c r="J361" s="736" t="n"/>
      <c r="K361" s="814" t="n"/>
      <c r="L361" s="735" t="n"/>
      <c r="M361" s="736" t="n"/>
      <c r="N361" s="403" t="inlineStr">
        <is>
          <t>Capital Social</t>
        </is>
      </c>
      <c r="O361" s="773" t="n"/>
      <c r="P361" s="773" t="n"/>
      <c r="Q361" s="773" t="n"/>
      <c r="R361" s="774" t="n"/>
      <c r="S361" s="814" t="n"/>
      <c r="T361" s="735" t="n"/>
      <c r="U361" s="736" t="n"/>
      <c r="V361" s="814" t="n"/>
      <c r="W361" s="735" t="n"/>
      <c r="X361" s="736" t="n"/>
      <c r="Y361" s="814" t="n"/>
      <c r="Z361" s="735" t="n"/>
      <c r="AA361" s="736" t="n"/>
      <c r="AB361" s="157" t="n"/>
      <c r="AC361" s="9" t="n"/>
    </row>
    <row r="362" ht="25.5" customHeight="1">
      <c r="B362" s="187" t="n"/>
      <c r="D362" s="120" t="inlineStr">
        <is>
          <t>Otros</t>
        </is>
      </c>
      <c r="E362" s="814" t="n"/>
      <c r="F362" s="735" t="n"/>
      <c r="G362" s="736" t="n"/>
      <c r="H362" s="814" t="n"/>
      <c r="I362" s="735" t="n"/>
      <c r="J362" s="736" t="n"/>
      <c r="K362" s="814" t="n"/>
      <c r="L362" s="735" t="n"/>
      <c r="M362" s="736" t="n"/>
      <c r="N362" s="403" t="inlineStr">
        <is>
          <t>Reserva Legal</t>
        </is>
      </c>
      <c r="O362" s="773" t="n"/>
      <c r="P362" s="773" t="n"/>
      <c r="Q362" s="773" t="n"/>
      <c r="R362" s="774" t="n"/>
      <c r="S362" s="814" t="n"/>
      <c r="T362" s="735" t="n"/>
      <c r="U362" s="736" t="n"/>
      <c r="V362" s="814" t="n"/>
      <c r="W362" s="735" t="n"/>
      <c r="X362" s="736" t="n"/>
      <c r="Y362" s="814" t="n"/>
      <c r="Z362" s="735" t="n"/>
      <c r="AA362" s="736" t="n"/>
      <c r="AB362" s="157" t="n"/>
      <c r="AC362" s="9" t="n"/>
    </row>
    <row r="363" ht="25.5" customHeight="1">
      <c r="B363" s="187" t="n"/>
      <c r="D363" s="116" t="inlineStr">
        <is>
          <t>Activo diferido</t>
        </is>
      </c>
      <c r="E363" s="381">
        <f>SUM(E360:G362)</f>
        <v/>
      </c>
      <c r="F363" s="815" t="n"/>
      <c r="G363" s="816" t="n"/>
      <c r="H363" s="381">
        <f>SUM(H360:J362)</f>
        <v/>
      </c>
      <c r="I363" s="815" t="n"/>
      <c r="J363" s="816" t="n"/>
      <c r="K363" s="381">
        <f>SUM(K360:M362)</f>
        <v/>
      </c>
      <c r="L363" s="815" t="n"/>
      <c r="M363" s="816" t="n"/>
      <c r="N363" s="398" t="inlineStr">
        <is>
          <t>Superávit de Capital</t>
        </is>
      </c>
      <c r="O363" s="773" t="n"/>
      <c r="P363" s="773" t="n"/>
      <c r="Q363" s="773" t="n"/>
      <c r="R363" s="774" t="n"/>
      <c r="S363" s="814" t="n"/>
      <c r="T363" s="735" t="n"/>
      <c r="U363" s="736" t="n"/>
      <c r="V363" s="814" t="n"/>
      <c r="W363" s="735" t="n"/>
      <c r="X363" s="736" t="n"/>
      <c r="Y363" s="814" t="n"/>
      <c r="Z363" s="735" t="n"/>
      <c r="AA363" s="736" t="n"/>
      <c r="AB363" s="157" t="n"/>
      <c r="AC363" s="9" t="n"/>
    </row>
    <row r="364" ht="25.5" customHeight="1">
      <c r="B364" s="187" t="n"/>
      <c r="D364" s="117" t="inlineStr">
        <is>
          <t>Otros</t>
        </is>
      </c>
      <c r="E364" s="814" t="n"/>
      <c r="F364" s="735" t="n"/>
      <c r="G364" s="736" t="n"/>
      <c r="H364" s="814" t="n"/>
      <c r="I364" s="735" t="n"/>
      <c r="J364" s="736" t="n"/>
      <c r="K364" s="814" t="n"/>
      <c r="L364" s="735" t="n"/>
      <c r="M364" s="736" t="n"/>
      <c r="N364" s="398" t="inlineStr">
        <is>
          <t>Otras cuentas de capital</t>
        </is>
      </c>
      <c r="O364" s="773" t="n"/>
      <c r="P364" s="773" t="n"/>
      <c r="Q364" s="773" t="n"/>
      <c r="R364" s="774" t="n"/>
      <c r="S364" s="814" t="n"/>
      <c r="T364" s="735" t="n"/>
      <c r="U364" s="736" t="n"/>
      <c r="V364" s="814" t="n"/>
      <c r="W364" s="735" t="n"/>
      <c r="X364" s="736" t="n"/>
      <c r="Y364" s="814" t="n"/>
      <c r="Z364" s="735" t="n"/>
      <c r="AA364" s="736" t="n"/>
      <c r="AB364" s="157" t="n"/>
      <c r="AC364" s="9" t="n"/>
    </row>
    <row r="365" ht="25.5" customHeight="1">
      <c r="B365" s="187" t="n"/>
      <c r="D365" s="117" t="inlineStr">
        <is>
          <t>Otros</t>
        </is>
      </c>
      <c r="E365" s="814" t="n"/>
      <c r="F365" s="735" t="n"/>
      <c r="G365" s="736" t="n"/>
      <c r="H365" s="814" t="n"/>
      <c r="I365" s="735" t="n"/>
      <c r="J365" s="736" t="n"/>
      <c r="K365" s="814" t="n"/>
      <c r="L365" s="735" t="n"/>
      <c r="M365" s="736" t="n"/>
      <c r="N365" s="398" t="inlineStr">
        <is>
          <t>Resultado Ejercicios anteriores</t>
        </is>
      </c>
      <c r="O365" s="773" t="n"/>
      <c r="P365" s="773" t="n"/>
      <c r="Q365" s="773" t="n"/>
      <c r="R365" s="774" t="n"/>
      <c r="S365" s="814" t="n"/>
      <c r="T365" s="735" t="n"/>
      <c r="U365" s="736" t="n"/>
      <c r="V365" s="814" t="n"/>
      <c r="W365" s="735" t="n"/>
      <c r="X365" s="736" t="n"/>
      <c r="Y365" s="814" t="n"/>
      <c r="Z365" s="735" t="n"/>
      <c r="AA365" s="736" t="n"/>
      <c r="AB365" s="157" t="n"/>
      <c r="AC365" s="9" t="n"/>
    </row>
    <row r="366" ht="25.5" customHeight="1">
      <c r="B366" s="187" t="n"/>
      <c r="D366" s="117" t="inlineStr">
        <is>
          <t>Otros</t>
        </is>
      </c>
      <c r="E366" s="814" t="n"/>
      <c r="F366" s="735" t="n"/>
      <c r="G366" s="736" t="n"/>
      <c r="H366" s="814" t="n"/>
      <c r="I366" s="735" t="n"/>
      <c r="J366" s="736" t="n"/>
      <c r="K366" s="814" t="n"/>
      <c r="L366" s="735" t="n"/>
      <c r="M366" s="736" t="n"/>
      <c r="N366" s="367" t="n"/>
      <c r="O366" s="773" t="n"/>
      <c r="P366" s="773" t="n"/>
      <c r="Q366" s="773" t="n"/>
      <c r="R366" s="774" t="n"/>
      <c r="S366" s="367" t="n"/>
      <c r="T366" s="773" t="n"/>
      <c r="U366" s="774" t="n"/>
      <c r="V366" s="367" t="n"/>
      <c r="W366" s="773" t="n"/>
      <c r="X366" s="774" t="n"/>
      <c r="Y366" s="367" t="n"/>
      <c r="Z366" s="773" t="n"/>
      <c r="AA366" s="774" t="n"/>
      <c r="AB366" s="155" t="n"/>
      <c r="AC366" s="9" t="n"/>
    </row>
    <row r="367" ht="25.5" customHeight="1">
      <c r="B367" s="187" t="n"/>
      <c r="D367" s="117" t="inlineStr">
        <is>
          <t>Otros</t>
        </is>
      </c>
      <c r="E367" s="814" t="n"/>
      <c r="F367" s="735" t="n"/>
      <c r="G367" s="736" t="n"/>
      <c r="H367" s="814" t="n"/>
      <c r="I367" s="735" t="n"/>
      <c r="J367" s="736" t="n"/>
      <c r="K367" s="814" t="n"/>
      <c r="L367" s="735" t="n"/>
      <c r="M367" s="736" t="n"/>
      <c r="N367" s="404" t="inlineStr">
        <is>
          <t>Capital Contable</t>
        </is>
      </c>
      <c r="O367" s="773" t="n"/>
      <c r="P367" s="773" t="n"/>
      <c r="Q367" s="773" t="n"/>
      <c r="R367" s="774" t="n"/>
      <c r="S367" s="381">
        <f>SUM(S361:U365)</f>
        <v/>
      </c>
      <c r="T367" s="815" t="n"/>
      <c r="U367" s="816" t="n"/>
      <c r="V367" s="381">
        <f>SUM(V361:X365)</f>
        <v/>
      </c>
      <c r="W367" s="815" t="n"/>
      <c r="X367" s="816" t="n"/>
      <c r="Y367" s="381">
        <f>SUM(Y361:AA365)</f>
        <v/>
      </c>
      <c r="Z367" s="815" t="n"/>
      <c r="AA367" s="816" t="n"/>
      <c r="AB367" s="156" t="n"/>
      <c r="AC367" s="9" t="n"/>
    </row>
    <row r="368" ht="25.5" customHeight="1">
      <c r="B368" s="187">
        <f>IF(OR($E$340="Dictaminado",$E$340="Auditado"),1,IF(AND(LEN(E368)&gt;1,LEN(H368)&gt;1,LEN(K368)&gt;1,LEN(S368)&gt;1,LEN(V368)&gt;1,LEN(Y368)&gt;1,),1,0))</f>
        <v/>
      </c>
      <c r="C368" s="190">
        <f>IF(B368=0,"*","")</f>
        <v/>
      </c>
      <c r="D368" s="116" t="inlineStr">
        <is>
          <t>Activo Total</t>
        </is>
      </c>
      <c r="E368" s="381">
        <f>E364+E365+E366+E367+E363+E359+E355</f>
        <v/>
      </c>
      <c r="F368" s="815" t="n"/>
      <c r="G368" s="816" t="n"/>
      <c r="H368" s="381">
        <f>H364+H365+H366+H367+H363+H359+H355</f>
        <v/>
      </c>
      <c r="I368" s="815" t="n"/>
      <c r="J368" s="816" t="n"/>
      <c r="K368" s="381">
        <f>K364+K365+K366+K367+K363+K359+K355</f>
        <v/>
      </c>
      <c r="L368" s="815" t="n"/>
      <c r="M368" s="816" t="n"/>
      <c r="N368" s="404" t="inlineStr">
        <is>
          <t>Pasivo + Capital</t>
        </is>
      </c>
      <c r="O368" s="773" t="n"/>
      <c r="P368" s="773" t="n"/>
      <c r="Q368" s="773" t="n"/>
      <c r="R368" s="774" t="n"/>
      <c r="S368" s="381">
        <f>S367+S360</f>
        <v/>
      </c>
      <c r="T368" s="815" t="n"/>
      <c r="U368" s="816" t="n"/>
      <c r="V368" s="381">
        <f>V367+V360</f>
        <v/>
      </c>
      <c r="W368" s="815" t="n"/>
      <c r="X368" s="816" t="n"/>
      <c r="Y368" s="381">
        <f>Y367+Y360</f>
        <v/>
      </c>
      <c r="Z368" s="815" t="n"/>
      <c r="AA368" s="816" t="n"/>
      <c r="AB368" s="156" t="n"/>
      <c r="AC368" s="9" t="n"/>
    </row>
    <row r="369">
      <c r="B369" s="187" t="n"/>
      <c r="D369" s="121" t="n"/>
      <c r="E369" s="817">
        <f>IF(E368=S368,"VALIDO","ERROR")</f>
        <v/>
      </c>
      <c r="F369" s="773" t="n"/>
      <c r="G369" s="774" t="n"/>
      <c r="H369" s="817">
        <f>IF(H368=V368,"VALIDO","ERROR")</f>
        <v/>
      </c>
      <c r="I369" s="773" t="n"/>
      <c r="J369" s="774" t="n"/>
      <c r="K369" s="817">
        <f>IF(K368=Y368,"VALIDO","ERROR")</f>
        <v/>
      </c>
      <c r="L369" s="773" t="n"/>
      <c r="M369" s="774" t="n"/>
      <c r="N369" s="818" t="n"/>
      <c r="O369" s="773" t="n"/>
      <c r="P369" s="773" t="n"/>
      <c r="Q369" s="773" t="n"/>
      <c r="R369" s="773" t="n"/>
      <c r="S369" s="773" t="n"/>
      <c r="T369" s="773" t="n"/>
      <c r="U369" s="773" t="n"/>
      <c r="V369" s="773" t="n"/>
      <c r="W369" s="773" t="n"/>
      <c r="X369" s="773" t="n"/>
      <c r="Y369" s="773" t="n"/>
      <c r="Z369" s="773" t="n"/>
      <c r="AA369" s="819" t="n"/>
      <c r="AB369" s="113" t="n"/>
      <c r="AC369" s="9" t="n"/>
    </row>
    <row r="370">
      <c r="B370" s="187" t="n"/>
      <c r="D370" s="121" t="n"/>
      <c r="L370" s="624" t="n"/>
      <c r="M370" s="624" t="n"/>
      <c r="N370" s="624" t="n"/>
      <c r="O370" s="624" t="n"/>
      <c r="P370" s="624" t="n"/>
      <c r="Q370" s="624" t="n"/>
      <c r="R370" s="624" t="n"/>
      <c r="S370" s="624" t="n"/>
      <c r="T370" s="624" t="n"/>
      <c r="U370" s="624" t="n"/>
      <c r="V370" s="624" t="n"/>
      <c r="W370" s="624" t="n"/>
      <c r="X370" s="624" t="n"/>
      <c r="Y370" s="308" t="n"/>
      <c r="Z370" s="308" t="n"/>
      <c r="AA370" s="114" t="n"/>
      <c r="AB370" s="52" t="n"/>
      <c r="AC370" s="9" t="n"/>
    </row>
    <row r="371" ht="27" customHeight="1" thickBot="1">
      <c r="B371" s="187" t="n"/>
      <c r="D371" s="121" t="n"/>
      <c r="L371" s="624" t="n"/>
      <c r="M371" s="624" t="n"/>
      <c r="N371" s="624" t="n"/>
      <c r="O371" s="624" t="n"/>
      <c r="P371" s="624" t="n"/>
      <c r="Q371" s="624" t="n"/>
      <c r="R371" s="624" t="n"/>
      <c r="S371" s="624" t="n"/>
      <c r="T371" s="624" t="n"/>
      <c r="U371" s="624" t="n"/>
      <c r="V371" s="624" t="n"/>
      <c r="W371" s="624" t="n"/>
      <c r="X371" s="624" t="n"/>
      <c r="Y371" s="308" t="n"/>
      <c r="Z371" s="308" t="n"/>
      <c r="AA371" s="114" t="n"/>
      <c r="AB371" s="52" t="n"/>
      <c r="AC371" s="9" t="n"/>
    </row>
    <row r="372" ht="30.6" customHeight="1" thickBot="1">
      <c r="B372" s="187" t="n"/>
      <c r="D372" s="433" t="inlineStr">
        <is>
          <t>ESTADO DE PÉRDIDAS Y GANANCIAS</t>
        </is>
      </c>
      <c r="E372" s="820" t="n"/>
      <c r="F372" s="820" t="n"/>
      <c r="G372" s="820" t="n"/>
      <c r="H372" s="820" t="n"/>
      <c r="I372" s="820" t="n"/>
      <c r="J372" s="820" t="n"/>
      <c r="K372" s="821" t="n"/>
      <c r="L372" s="624" t="n"/>
      <c r="M372" s="624" t="n"/>
      <c r="N372" s="624" t="n"/>
      <c r="O372" s="624" t="n"/>
      <c r="P372" s="624" t="n"/>
      <c r="Q372" s="624" t="n"/>
      <c r="R372" s="624" t="n"/>
      <c r="S372" s="624" t="n"/>
      <c r="T372" s="624" t="n"/>
      <c r="U372" s="624" t="n"/>
      <c r="V372" s="624" t="n"/>
      <c r="W372" s="624" t="n"/>
      <c r="X372" s="624" t="n"/>
      <c r="Y372" s="308" t="n"/>
      <c r="Z372" s="308" t="n"/>
      <c r="AA372" s="114" t="n"/>
      <c r="AB372" s="52" t="n"/>
      <c r="AC372" s="9" t="n"/>
    </row>
    <row r="373">
      <c r="B373" s="187" t="n"/>
      <c r="D373" s="436" t="inlineStr">
        <is>
          <t>CONCEPTO</t>
        </is>
      </c>
      <c r="E373" s="694" t="n"/>
      <c r="F373" s="438">
        <f>YEAR(TODAY()-1095)</f>
        <v/>
      </c>
      <c r="G373" s="669" t="n"/>
      <c r="H373" s="438">
        <f>YEAR(TODAY()-730)</f>
        <v/>
      </c>
      <c r="I373" s="669" t="n"/>
      <c r="J373" s="438">
        <f>YEAR(TODAY()-365)</f>
        <v/>
      </c>
      <c r="K373" s="669" t="n"/>
      <c r="L373" s="624" t="n"/>
      <c r="M373" s="624" t="n"/>
      <c r="N373" s="624" t="n"/>
      <c r="O373" s="624" t="n"/>
      <c r="P373" s="624" t="n"/>
      <c r="Q373" s="624" t="n"/>
      <c r="R373" s="624" t="n"/>
      <c r="S373" s="624" t="n"/>
      <c r="T373" s="624" t="n"/>
      <c r="U373" s="624" t="n"/>
      <c r="V373" s="624" t="n"/>
      <c r="W373" s="624" t="n"/>
      <c r="X373" s="624" t="n"/>
      <c r="Y373" s="308" t="n"/>
      <c r="Z373" s="308" t="n"/>
      <c r="AA373" s="114" t="n"/>
      <c r="AB373" s="52" t="n"/>
      <c r="AC373" s="9" t="n"/>
    </row>
    <row r="374">
      <c r="B374" s="187" t="n"/>
      <c r="D374" s="416" t="inlineStr">
        <is>
          <t>Ventas</t>
        </is>
      </c>
      <c r="E374" s="774" t="n"/>
      <c r="F374" s="216" t="n"/>
      <c r="G374" s="672" t="n"/>
      <c r="H374" s="216" t="n"/>
      <c r="I374" s="672" t="n"/>
      <c r="J374" s="822" t="n"/>
      <c r="K374" s="823" t="n"/>
      <c r="L374" s="624" t="n"/>
      <c r="M374" s="624" t="n"/>
      <c r="N374" s="624" t="n"/>
      <c r="O374" s="624" t="n"/>
      <c r="P374" s="624" t="n"/>
      <c r="Q374" s="624" t="n"/>
      <c r="R374" s="624" t="n"/>
      <c r="S374" s="624" t="n"/>
      <c r="T374" s="624" t="n"/>
      <c r="U374" s="624" t="n"/>
      <c r="V374" s="624" t="n"/>
      <c r="W374" s="624" t="n"/>
      <c r="X374" s="624" t="n"/>
      <c r="Y374" s="308" t="n"/>
      <c r="Z374" s="308" t="n"/>
      <c r="AA374" s="114" t="n"/>
      <c r="AB374" s="52" t="n"/>
      <c r="AC374" s="9" t="n"/>
    </row>
    <row r="375">
      <c r="B375" s="187" t="n"/>
      <c r="D375" s="416" t="inlineStr">
        <is>
          <t>Costo de Ventas</t>
        </is>
      </c>
      <c r="E375" s="774" t="n"/>
      <c r="F375" s="216" t="n"/>
      <c r="G375" s="672" t="n"/>
      <c r="H375" s="216" t="n"/>
      <c r="I375" s="672" t="n"/>
      <c r="J375" s="822" t="n"/>
      <c r="K375" s="823" t="n"/>
      <c r="L375" s="624" t="n"/>
      <c r="M375" s="624" t="n"/>
      <c r="N375" s="624" t="n"/>
      <c r="O375" s="624" t="n"/>
      <c r="P375" s="624" t="n"/>
      <c r="Q375" s="624" t="n"/>
      <c r="R375" s="624" t="n"/>
      <c r="S375" s="624" t="n"/>
      <c r="T375" s="624" t="n"/>
      <c r="U375" s="624" t="n"/>
      <c r="V375" s="624" t="n"/>
      <c r="W375" s="624" t="n"/>
      <c r="X375" s="624" t="n"/>
      <c r="Y375" s="308" t="n"/>
      <c r="Z375" s="308" t="n"/>
      <c r="AA375" s="114" t="n"/>
      <c r="AB375" s="52" t="n"/>
      <c r="AC375" s="9" t="n"/>
    </row>
    <row r="376">
      <c r="B376" s="187" t="n"/>
      <c r="D376" s="411" t="inlineStr">
        <is>
          <t>Resultado Bruto</t>
        </is>
      </c>
      <c r="E376" s="774" t="n"/>
      <c r="F376" s="824">
        <f>F374-F375</f>
        <v/>
      </c>
      <c r="G376" s="774" t="n"/>
      <c r="H376" s="824">
        <f>H374-H375</f>
        <v/>
      </c>
      <c r="I376" s="774" t="n"/>
      <c r="J376" s="825">
        <f>J374-J375</f>
        <v/>
      </c>
      <c r="K376" s="819" t="n"/>
      <c r="L376" s="624" t="n"/>
      <c r="M376" s="624" t="n"/>
      <c r="N376" s="624" t="n"/>
      <c r="O376" s="624" t="n"/>
      <c r="P376" s="624" t="n"/>
      <c r="Q376" s="624" t="n"/>
      <c r="R376" s="624" t="n"/>
      <c r="S376" s="624" t="n"/>
      <c r="T376" s="624" t="n"/>
      <c r="U376" s="624" t="n"/>
      <c r="V376" s="624" t="n"/>
      <c r="W376" s="624" t="n"/>
      <c r="X376" s="624" t="n"/>
      <c r="Y376" s="308" t="n"/>
      <c r="Z376" s="308" t="n"/>
      <c r="AA376" s="114" t="n"/>
      <c r="AB376" s="52" t="n"/>
      <c r="AC376" s="9" t="n"/>
    </row>
    <row r="377">
      <c r="B377" s="187" t="n"/>
      <c r="D377" s="416" t="inlineStr">
        <is>
          <t>Gastos de Operación</t>
        </is>
      </c>
      <c r="E377" s="774" t="n"/>
      <c r="F377" s="216" t="n"/>
      <c r="G377" s="672" t="n"/>
      <c r="H377" s="216" t="n"/>
      <c r="I377" s="672" t="n"/>
      <c r="J377" s="822" t="n"/>
      <c r="K377" s="823" t="n"/>
      <c r="L377" s="624" t="n"/>
      <c r="M377" s="624" t="n"/>
      <c r="N377" s="624" t="n"/>
      <c r="O377" s="624" t="n"/>
      <c r="P377" s="624" t="n"/>
      <c r="Q377" s="624" t="n"/>
      <c r="R377" s="624" t="n"/>
      <c r="S377" s="624" t="n"/>
      <c r="T377" s="624" t="n"/>
      <c r="U377" s="624" t="n"/>
      <c r="V377" s="624" t="n"/>
      <c r="W377" s="624" t="n"/>
      <c r="X377" s="624" t="n"/>
      <c r="Y377" s="308" t="n"/>
      <c r="Z377" s="308" t="n"/>
      <c r="AA377" s="114" t="n"/>
      <c r="AB377" s="52" t="n"/>
      <c r="AC377" s="9" t="n"/>
    </row>
    <row r="378">
      <c r="B378" s="187" t="n"/>
      <c r="D378" s="416" t="inlineStr">
        <is>
          <t>Gastos Administrativos</t>
        </is>
      </c>
      <c r="E378" s="774" t="n"/>
      <c r="F378" s="216" t="n"/>
      <c r="G378" s="672" t="n"/>
      <c r="H378" s="216" t="n"/>
      <c r="I378" s="672" t="n"/>
      <c r="J378" s="822" t="n"/>
      <c r="K378" s="823" t="n"/>
      <c r="L378" s="624" t="n"/>
      <c r="M378" s="624" t="n"/>
      <c r="N378" s="624" t="n"/>
      <c r="O378" s="624" t="n"/>
      <c r="P378" s="624" t="n"/>
      <c r="Q378" s="624" t="n"/>
      <c r="R378" s="624" t="n"/>
      <c r="S378" s="624" t="n"/>
      <c r="T378" s="624" t="n"/>
      <c r="U378" s="624" t="n"/>
      <c r="V378" s="624" t="n"/>
      <c r="W378" s="624" t="n"/>
      <c r="X378" s="624" t="n"/>
      <c r="Y378" s="308" t="n"/>
      <c r="Z378" s="308" t="n"/>
      <c r="AA378" s="114" t="n"/>
      <c r="AB378" s="52" t="n"/>
      <c r="AC378" s="9" t="n"/>
    </row>
    <row r="379">
      <c r="B379" s="187" t="n"/>
      <c r="D379" s="411" t="inlineStr">
        <is>
          <t>Resultado de operación</t>
        </is>
      </c>
      <c r="E379" s="774" t="n"/>
      <c r="F379" s="824">
        <f>F376-F377-F378</f>
        <v/>
      </c>
      <c r="G379" s="774" t="n"/>
      <c r="H379" s="824">
        <f>H376-H377-H378</f>
        <v/>
      </c>
      <c r="I379" s="774" t="n"/>
      <c r="J379" s="825">
        <f>J376-J377-J378</f>
        <v/>
      </c>
      <c r="K379" s="819" t="n"/>
      <c r="L379" s="624" t="n"/>
      <c r="M379" s="624" t="n"/>
      <c r="N379" s="624" t="n"/>
      <c r="O379" s="624" t="n"/>
      <c r="P379" s="624" t="n"/>
      <c r="Q379" s="624" t="n"/>
      <c r="R379" s="624" t="n"/>
      <c r="S379" s="624" t="n"/>
      <c r="T379" s="624" t="n"/>
      <c r="U379" s="624" t="n"/>
      <c r="V379" s="624" t="n"/>
      <c r="W379" s="624" t="n"/>
      <c r="X379" s="624" t="n"/>
      <c r="Y379" s="308" t="n"/>
      <c r="Z379" s="308" t="n"/>
      <c r="AA379" s="114" t="n"/>
      <c r="AB379" s="52" t="n"/>
      <c r="AC379" s="9" t="n"/>
    </row>
    <row r="380">
      <c r="B380" s="187" t="n"/>
      <c r="D380" s="416" t="inlineStr">
        <is>
          <t>Otros Ingresos / Productos</t>
        </is>
      </c>
      <c r="E380" s="774" t="n"/>
      <c r="F380" s="216" t="n"/>
      <c r="G380" s="672" t="n"/>
      <c r="H380" s="216" t="n"/>
      <c r="I380" s="672" t="n"/>
      <c r="J380" s="822" t="n"/>
      <c r="K380" s="823" t="n"/>
      <c r="L380" s="624" t="n"/>
      <c r="M380" s="624" t="n"/>
      <c r="N380" s="624" t="n"/>
      <c r="O380" s="624" t="n"/>
      <c r="P380" s="624" t="n"/>
      <c r="Q380" s="624" t="n"/>
      <c r="R380" s="624" t="n"/>
      <c r="S380" s="624" t="n"/>
      <c r="T380" s="624" t="n"/>
      <c r="U380" s="624" t="n"/>
      <c r="V380" s="624" t="n"/>
      <c r="W380" s="624" t="n"/>
      <c r="X380" s="624" t="n"/>
      <c r="Y380" s="308" t="n"/>
      <c r="Z380" s="308" t="n"/>
      <c r="AA380" s="114" t="n"/>
      <c r="AB380" s="52" t="n"/>
      <c r="AC380" s="9" t="n"/>
    </row>
    <row r="381">
      <c r="B381" s="187" t="n"/>
      <c r="D381" s="416" t="inlineStr">
        <is>
          <t>Gastos Financieros</t>
        </is>
      </c>
      <c r="E381" s="774" t="n"/>
      <c r="F381" s="216" t="n"/>
      <c r="G381" s="672" t="n"/>
      <c r="H381" s="216" t="n"/>
      <c r="I381" s="672" t="n"/>
      <c r="J381" s="822" t="n"/>
      <c r="K381" s="823" t="n"/>
      <c r="L381" s="624" t="n"/>
      <c r="M381" s="624" t="n"/>
      <c r="N381" s="624" t="n"/>
      <c r="O381" s="624" t="n"/>
      <c r="P381" s="624" t="n"/>
      <c r="Q381" s="624" t="n"/>
      <c r="R381" s="624" t="n"/>
      <c r="S381" s="624" t="n"/>
      <c r="T381" s="624" t="n"/>
      <c r="U381" s="624" t="n"/>
      <c r="V381" s="624" t="n"/>
      <c r="W381" s="624" t="n"/>
      <c r="X381" s="624" t="n"/>
      <c r="Y381" s="308" t="n"/>
      <c r="Z381" s="308" t="n"/>
      <c r="AA381" s="114" t="n"/>
      <c r="AB381" s="52" t="n"/>
      <c r="AC381" s="9" t="n"/>
    </row>
    <row r="382">
      <c r="B382" s="187" t="n"/>
      <c r="D382" s="416" t="inlineStr">
        <is>
          <t>Otros Gastos</t>
        </is>
      </c>
      <c r="E382" s="774" t="n"/>
      <c r="F382" s="216" t="n"/>
      <c r="G382" s="672" t="n"/>
      <c r="H382" s="216" t="n"/>
      <c r="I382" s="672" t="n"/>
      <c r="J382" s="822" t="n"/>
      <c r="K382" s="823" t="n"/>
      <c r="L382" s="624" t="n"/>
      <c r="M382" s="624" t="n"/>
      <c r="N382" s="624" t="n"/>
      <c r="O382" s="624" t="n"/>
      <c r="P382" s="624" t="n"/>
      <c r="Q382" s="624" t="n"/>
      <c r="R382" s="624" t="n"/>
      <c r="S382" s="624" t="n"/>
      <c r="T382" s="624" t="n"/>
      <c r="U382" s="624" t="n"/>
      <c r="V382" s="624" t="n"/>
      <c r="W382" s="624" t="n"/>
      <c r="X382" s="624" t="n"/>
      <c r="Y382" s="308" t="n"/>
      <c r="Z382" s="308" t="n"/>
      <c r="AA382" s="114" t="n"/>
      <c r="AB382" s="52" t="n"/>
      <c r="AC382" s="9" t="n"/>
    </row>
    <row r="383">
      <c r="B383" s="187" t="n"/>
      <c r="D383" s="411" t="inlineStr">
        <is>
          <t>Resultado Antes de Impuestos</t>
        </is>
      </c>
      <c r="E383" s="774" t="n"/>
      <c r="F383" s="824">
        <f>F379+F380-F381-F382</f>
        <v/>
      </c>
      <c r="G383" s="774" t="n"/>
      <c r="H383" s="824">
        <f>H379+H380-H381-H382</f>
        <v/>
      </c>
      <c r="I383" s="774" t="n"/>
      <c r="J383" s="825">
        <f>J379+J380-J381-J382</f>
        <v/>
      </c>
      <c r="K383" s="819" t="n"/>
      <c r="L383" s="624" t="n"/>
      <c r="M383" s="624" t="n"/>
      <c r="N383" s="624" t="n"/>
      <c r="O383" s="624" t="n"/>
      <c r="P383" s="624" t="n"/>
      <c r="Q383" s="624" t="n"/>
      <c r="R383" s="624" t="n"/>
      <c r="S383" s="624" t="n"/>
      <c r="T383" s="624" t="n"/>
      <c r="U383" s="624" t="n"/>
      <c r="V383" s="624" t="n"/>
      <c r="W383" s="624" t="n"/>
      <c r="X383" s="624" t="n"/>
      <c r="Y383" s="308" t="n"/>
      <c r="Z383" s="308" t="n"/>
      <c r="AA383" s="114" t="n"/>
      <c r="AB383" s="52" t="n"/>
      <c r="AC383" s="9" t="n"/>
    </row>
    <row r="384">
      <c r="B384" s="187">
        <f>IF(OR($E$340="Dictaminado",$E$340="Auditado"),1,IF(SUM(B385:B385)=3,1,0))</f>
        <v/>
      </c>
      <c r="C384" s="190">
        <f>IF(B384=0,"*","")</f>
        <v/>
      </c>
      <c r="D384" s="416" t="inlineStr">
        <is>
          <t>Impuesto a las Ganancias</t>
        </is>
      </c>
      <c r="E384" s="774" t="n"/>
      <c r="F384" s="216" t="n"/>
      <c r="G384" s="672" t="n"/>
      <c r="H384" s="216" t="n"/>
      <c r="I384" s="672" t="n"/>
      <c r="J384" s="822" t="n"/>
      <c r="K384" s="823" t="n"/>
      <c r="L384" s="624" t="n"/>
      <c r="M384" s="624" t="n"/>
      <c r="N384" s="624" t="n"/>
      <c r="O384" s="624" t="n"/>
      <c r="P384" s="624" t="n"/>
      <c r="Q384" s="624" t="n"/>
      <c r="R384" s="624" t="n"/>
      <c r="S384" s="624" t="n"/>
      <c r="T384" s="624" t="n"/>
      <c r="U384" s="624" t="n"/>
      <c r="V384" s="624" t="n"/>
      <c r="W384" s="624" t="n"/>
      <c r="X384" s="624" t="n"/>
      <c r="Y384" s="308" t="n"/>
      <c r="Z384" s="308" t="n"/>
      <c r="AA384" s="114" t="n"/>
      <c r="AB384" s="52" t="n"/>
      <c r="AC384" s="9" t="n"/>
    </row>
    <row r="385" ht="27" customHeight="1" thickBot="1">
      <c r="B385" s="187">
        <f>IF(OR($E$340="Dictaminado",$E$340="Auditado"),1,IF(LEN(F374)&gt;1,1,0))</f>
        <v/>
      </c>
      <c r="C385" s="190">
        <f>IF(B385=0,"*","")</f>
        <v/>
      </c>
      <c r="D385" s="405" t="inlineStr">
        <is>
          <t>RESULTADO NETO</t>
        </is>
      </c>
      <c r="E385" s="826" t="n"/>
      <c r="F385" s="827">
        <f>F383-F384</f>
        <v/>
      </c>
      <c r="G385" s="826" t="n"/>
      <c r="H385" s="827">
        <f>H383-H384</f>
        <v/>
      </c>
      <c r="I385" s="826" t="n"/>
      <c r="J385" s="828">
        <f>J383-J384</f>
        <v/>
      </c>
      <c r="K385" s="829" t="n"/>
      <c r="L385" s="624" t="n"/>
      <c r="M385" s="624" t="n"/>
      <c r="N385" s="624" t="n"/>
      <c r="O385" s="624" t="n"/>
      <c r="P385" s="624" t="n"/>
      <c r="Q385" s="624" t="n"/>
      <c r="R385" s="624" t="n"/>
      <c r="S385" s="624" t="n"/>
      <c r="T385" s="624" t="n"/>
      <c r="U385" s="624" t="n"/>
      <c r="V385" s="624" t="n"/>
      <c r="W385" s="624" t="n"/>
      <c r="X385" s="624" t="n"/>
      <c r="Y385" s="308" t="n"/>
      <c r="Z385" s="308" t="n"/>
      <c r="AA385" s="114" t="n"/>
      <c r="AB385" s="52" t="n"/>
      <c r="AC385" s="9" t="n"/>
    </row>
    <row r="386" ht="27" customHeight="1" thickBot="1">
      <c r="B386" s="187" t="n"/>
      <c r="D386" s="109" t="n"/>
      <c r="E386" s="110" t="n"/>
      <c r="F386" s="110" t="n"/>
      <c r="G386" s="110" t="n"/>
      <c r="H386" s="110" t="n"/>
      <c r="I386" s="110" t="n"/>
      <c r="J386" s="110" t="n"/>
      <c r="K386" s="110" t="n"/>
      <c r="L386" s="110" t="n"/>
      <c r="M386" s="110" t="n"/>
      <c r="N386" s="110" t="n"/>
      <c r="O386" s="110" t="n"/>
      <c r="P386" s="110" t="n"/>
      <c r="Q386" s="110" t="n"/>
      <c r="R386" s="110" t="n"/>
      <c r="S386" s="110" t="n"/>
      <c r="T386" s="110" t="n"/>
      <c r="U386" s="110" t="n"/>
      <c r="V386" s="110" t="n"/>
      <c r="W386" s="110" t="n"/>
      <c r="X386" s="110" t="n"/>
      <c r="Y386" s="122" t="n"/>
      <c r="Z386" s="122" t="n"/>
      <c r="AA386" s="123" t="n"/>
      <c r="AB386" s="52" t="n"/>
      <c r="AC386" s="9" t="n"/>
    </row>
    <row r="387" ht="27" customHeight="1" thickBot="1">
      <c r="B387" s="187" t="n"/>
      <c r="E387" s="624" t="n"/>
      <c r="F387" s="624" t="n"/>
      <c r="G387" s="624" t="n"/>
      <c r="H387" s="624" t="n"/>
      <c r="I387" s="624" t="n"/>
      <c r="J387" s="624" t="n"/>
      <c r="K387" s="624" t="n"/>
      <c r="L387" s="624" t="n"/>
      <c r="M387" s="624" t="n"/>
      <c r="N387" s="624" t="n"/>
      <c r="O387" s="624" t="n"/>
      <c r="P387" s="624" t="n"/>
      <c r="Q387" s="624" t="n"/>
      <c r="R387" s="624" t="n"/>
      <c r="S387" s="624" t="n"/>
      <c r="T387" s="624" t="n"/>
      <c r="U387" s="624" t="n"/>
      <c r="V387" s="624" t="n"/>
      <c r="W387" s="624" t="n"/>
      <c r="X387" s="624" t="n"/>
      <c r="Y387" s="308" t="n"/>
      <c r="Z387" s="308" t="n"/>
      <c r="AA387" s="308" t="n"/>
      <c r="AB387" s="52" t="n"/>
      <c r="AC387" s="9" t="n"/>
    </row>
    <row r="388" ht="43.5" customHeight="1">
      <c r="B388" s="187" t="n"/>
      <c r="D388" s="830" t="inlineStr">
        <is>
          <t>INFORMACIÓN FINANCIERA PARCIAL</t>
        </is>
      </c>
      <c r="E388" s="808" t="n"/>
      <c r="F388" s="808" t="n"/>
      <c r="G388" s="808" t="n"/>
      <c r="H388" s="808" t="n"/>
      <c r="I388" s="808" t="n"/>
      <c r="J388" s="808" t="n"/>
      <c r="K388" s="808" t="n"/>
      <c r="L388" s="808" t="n"/>
      <c r="M388" s="808" t="n"/>
      <c r="N388" s="808" t="n"/>
      <c r="O388" s="808" t="n"/>
      <c r="P388" s="808" t="n"/>
      <c r="Q388" s="808" t="n"/>
      <c r="R388" s="808" t="n"/>
      <c r="S388" s="808" t="n"/>
      <c r="T388" s="808" t="n"/>
      <c r="U388" s="808" t="n"/>
      <c r="V388" s="808" t="n"/>
      <c r="W388" s="808" t="n"/>
      <c r="X388" s="808" t="n"/>
      <c r="Y388" s="808" t="n"/>
      <c r="Z388" s="808" t="n"/>
      <c r="AA388" s="809" t="n"/>
      <c r="AB388" s="52" t="n"/>
      <c r="AC388" s="9" t="n"/>
    </row>
    <row r="389">
      <c r="B389" s="187" t="n"/>
      <c r="D389" s="621" t="inlineStr">
        <is>
          <t>BALANCE GENERAL</t>
        </is>
      </c>
      <c r="E389" s="815" t="n"/>
      <c r="F389" s="815" t="n"/>
      <c r="G389" s="815" t="n"/>
      <c r="H389" s="815" t="n"/>
      <c r="I389" s="815" t="n"/>
      <c r="J389" s="815" t="n"/>
      <c r="K389" s="815" t="n"/>
      <c r="L389" s="815" t="n"/>
      <c r="M389" s="815" t="n"/>
      <c r="N389" s="815" t="n"/>
      <c r="O389" s="815" t="n"/>
      <c r="P389" s="815" t="n"/>
      <c r="Q389" s="815" t="n"/>
      <c r="R389" s="815" t="n"/>
      <c r="S389" s="815" t="n"/>
      <c r="T389" s="815" t="n"/>
      <c r="U389" s="815" t="n"/>
      <c r="V389" s="815" t="n"/>
      <c r="W389" s="815" t="n"/>
      <c r="X389" s="815" t="n"/>
      <c r="Y389" s="815" t="n"/>
      <c r="Z389" s="815" t="n"/>
      <c r="AA389" s="816" t="n"/>
      <c r="AB389" s="52" t="n"/>
      <c r="AC389" s="9" t="n"/>
    </row>
    <row r="390">
      <c r="B390" s="187">
        <f>IF(AND(LEN(E390)&gt;1,LEN(G390)&gt;1),1,0)</f>
        <v/>
      </c>
      <c r="C390" s="190">
        <f>IF(B390=0,"*","")</f>
        <v/>
      </c>
      <c r="D390" s="124" t="inlineStr">
        <is>
          <t>Estado Financiero al:</t>
        </is>
      </c>
      <c r="E390" s="627" t="n"/>
      <c r="F390" s="736" t="n"/>
      <c r="G390" s="627" t="n"/>
      <c r="H390" s="735" t="n"/>
      <c r="I390" s="736" t="n"/>
      <c r="J390" s="626">
        <f>YEAR(TODAY())</f>
        <v/>
      </c>
      <c r="K390" s="735" t="n"/>
      <c r="L390" s="736" t="n"/>
      <c r="M390" s="625" t="n"/>
      <c r="N390" s="29" t="n"/>
      <c r="O390" s="29" t="n"/>
      <c r="P390" s="29" t="n"/>
      <c r="Q390" s="29" t="n"/>
      <c r="R390" s="29" t="n"/>
      <c r="S390" s="29" t="n"/>
      <c r="T390" s="29" t="n"/>
      <c r="U390" s="29" t="n"/>
      <c r="V390" s="29" t="n"/>
      <c r="W390" s="29" t="n"/>
      <c r="X390" s="29" t="n"/>
      <c r="Y390" s="29" t="n"/>
      <c r="Z390" s="29" t="n"/>
      <c r="AA390" s="813" t="n"/>
      <c r="AB390" s="52" t="n"/>
      <c r="AC390" s="9" t="n"/>
    </row>
    <row r="391">
      <c r="B391" s="187">
        <f>IF(LEN(E391)&gt;2,1,0)</f>
        <v/>
      </c>
      <c r="C391" s="190">
        <f>IF(B391=0,"*","")</f>
        <v/>
      </c>
      <c r="D391" s="125" t="inlineStr">
        <is>
          <t>Cifras en:</t>
        </is>
      </c>
      <c r="E391" s="648" t="n"/>
      <c r="F391" s="737" t="n"/>
      <c r="G391" s="738" t="n"/>
      <c r="H391" s="171" t="n"/>
      <c r="I391" s="171" t="n"/>
      <c r="J391" s="432" t="n"/>
      <c r="K391" s="432" t="n"/>
      <c r="L391" s="432" t="n"/>
      <c r="M391" s="624" t="n"/>
      <c r="N391" s="624" t="n"/>
      <c r="O391" s="624" t="n"/>
      <c r="P391" s="624" t="n"/>
      <c r="Q391" s="624" t="n"/>
      <c r="R391" s="624" t="n"/>
      <c r="S391" s="624" t="n"/>
      <c r="T391" s="624" t="n"/>
      <c r="U391" s="624" t="n"/>
      <c r="V391" s="624" t="n"/>
      <c r="W391" s="624" t="n"/>
      <c r="X391" s="624" t="n"/>
      <c r="Y391" s="107" t="n"/>
      <c r="Z391" s="107" t="n"/>
      <c r="AA391" s="108" t="n"/>
      <c r="AB391" s="52" t="n"/>
      <c r="AC391" s="9" t="n"/>
    </row>
    <row r="392" ht="38.4" customHeight="1">
      <c r="B392" s="187" t="n"/>
      <c r="D392" s="631" t="inlineStr">
        <is>
          <t>ACTIVO</t>
        </is>
      </c>
      <c r="E392" s="815" t="n"/>
      <c r="F392" s="815" t="n"/>
      <c r="G392" s="816" t="n"/>
      <c r="H392" s="632" t="inlineStr">
        <is>
          <t>PASIVO</t>
        </is>
      </c>
      <c r="I392" s="815" t="n"/>
      <c r="J392" s="815" t="n"/>
      <c r="K392" s="815" t="n"/>
      <c r="L392" s="815" t="n"/>
      <c r="M392" s="815" t="n"/>
      <c r="N392" s="816" t="n"/>
      <c r="O392" s="624" t="n"/>
      <c r="P392" s="624" t="n"/>
      <c r="Q392" s="624" t="n"/>
      <c r="R392" s="624" t="n"/>
      <c r="S392" s="624" t="n"/>
      <c r="T392" s="624" t="n"/>
      <c r="U392" s="624" t="n"/>
      <c r="V392" s="624" t="n"/>
      <c r="W392" s="624" t="n"/>
      <c r="X392" s="624" t="n"/>
      <c r="Y392" s="107" t="n"/>
      <c r="Z392" s="107" t="n"/>
      <c r="AA392" s="108" t="n"/>
      <c r="AB392" s="52" t="n"/>
      <c r="AC392" s="9" t="n"/>
    </row>
    <row r="393" ht="33" customHeight="1">
      <c r="B393" s="187" t="n"/>
      <c r="D393" s="126" t="inlineStr">
        <is>
          <t>CONCEPTO</t>
        </is>
      </c>
      <c r="E393" s="601">
        <f>J390</f>
        <v/>
      </c>
      <c r="F393" s="815" t="n"/>
      <c r="G393" s="816" t="n"/>
      <c r="H393" s="831" t="inlineStr">
        <is>
          <t>CUENTA</t>
        </is>
      </c>
      <c r="I393" s="815" t="n"/>
      <c r="J393" s="815" t="n"/>
      <c r="K393" s="816" t="n"/>
      <c r="L393" s="601">
        <f>J390</f>
        <v/>
      </c>
      <c r="M393" s="815" t="n"/>
      <c r="N393" s="816" t="n"/>
      <c r="O393" s="624" t="n"/>
      <c r="P393" s="624" t="n"/>
      <c r="Q393" s="624" t="n"/>
      <c r="R393" s="624" t="n"/>
      <c r="S393" s="624" t="n"/>
      <c r="T393" s="624" t="n"/>
      <c r="U393" s="624" t="n"/>
      <c r="V393" s="624" t="n"/>
      <c r="W393" s="624" t="n"/>
      <c r="X393" s="624" t="n"/>
      <c r="Y393" s="107" t="n"/>
      <c r="Z393" s="107" t="n"/>
      <c r="AA393" s="108" t="n"/>
      <c r="AB393" s="52" t="n"/>
      <c r="AC393" s="9" t="n"/>
    </row>
    <row r="394" ht="26.1" customHeight="1">
      <c r="B394" s="187" t="n"/>
      <c r="D394" s="127" t="inlineStr">
        <is>
          <t>Caja y Bancos</t>
        </is>
      </c>
      <c r="E394" s="814" t="n"/>
      <c r="F394" s="735" t="n"/>
      <c r="G394" s="736" t="n"/>
      <c r="H394" s="581" t="inlineStr">
        <is>
          <t>Bancos Corto Plazo</t>
        </is>
      </c>
      <c r="I394" s="815" t="n"/>
      <c r="J394" s="815" t="n"/>
      <c r="K394" s="816" t="n"/>
      <c r="L394" s="814" t="n"/>
      <c r="M394" s="735" t="n"/>
      <c r="N394" s="736" t="n"/>
      <c r="O394" s="624" t="n"/>
      <c r="P394" s="624" t="n"/>
      <c r="Q394" s="624" t="n"/>
      <c r="R394" s="624" t="n"/>
      <c r="S394" s="624" t="n"/>
      <c r="T394" s="624" t="n"/>
      <c r="U394" s="624" t="n"/>
      <c r="V394" s="624" t="n"/>
      <c r="W394" s="624" t="n"/>
      <c r="X394" s="624" t="n"/>
      <c r="Y394" s="107" t="n"/>
      <c r="Z394" s="107" t="n"/>
      <c r="AA394" s="108" t="n"/>
      <c r="AB394" s="52" t="n"/>
      <c r="AC394" s="9" t="n"/>
    </row>
    <row r="395" ht="26.1" customHeight="1">
      <c r="B395" s="187" t="n"/>
      <c r="D395" s="127" t="inlineStr">
        <is>
          <t>Inversiones</t>
        </is>
      </c>
      <c r="E395" s="814" t="n"/>
      <c r="F395" s="735" t="n"/>
      <c r="G395" s="736" t="n"/>
      <c r="H395" s="581" t="inlineStr">
        <is>
          <t>Documentos por Pagar</t>
        </is>
      </c>
      <c r="I395" s="815" t="n"/>
      <c r="J395" s="815" t="n"/>
      <c r="K395" s="816" t="n"/>
      <c r="L395" s="814" t="n"/>
      <c r="M395" s="735" t="n"/>
      <c r="N395" s="736" t="n"/>
      <c r="O395" s="624" t="n"/>
      <c r="P395" s="624" t="n"/>
      <c r="Q395" s="624" t="n"/>
      <c r="R395" s="624" t="n"/>
      <c r="S395" s="624" t="n"/>
      <c r="T395" s="624" t="n"/>
      <c r="U395" s="624" t="n"/>
      <c r="V395" s="624" t="n"/>
      <c r="W395" s="624" t="n"/>
      <c r="X395" s="624" t="n"/>
      <c r="Y395" s="107" t="n"/>
      <c r="Z395" s="107" t="n"/>
      <c r="AA395" s="108" t="n"/>
      <c r="AB395" s="52" t="n"/>
      <c r="AC395" s="9" t="n"/>
    </row>
    <row r="396" ht="26.1" customHeight="1">
      <c r="B396" s="187" t="n"/>
      <c r="D396" s="127" t="inlineStr">
        <is>
          <t>Cuentas por Cobrar</t>
        </is>
      </c>
      <c r="E396" s="814" t="n"/>
      <c r="F396" s="735" t="n"/>
      <c r="G396" s="736" t="n"/>
      <c r="H396" s="581" t="inlineStr">
        <is>
          <t>Proveedores</t>
        </is>
      </c>
      <c r="I396" s="815" t="n"/>
      <c r="J396" s="815" t="n"/>
      <c r="K396" s="816" t="n"/>
      <c r="L396" s="814" t="n"/>
      <c r="M396" s="735" t="n"/>
      <c r="N396" s="736" t="n"/>
      <c r="O396" s="624" t="n"/>
      <c r="P396" s="624" t="n"/>
      <c r="Q396" s="624" t="n"/>
      <c r="R396" s="624" t="n"/>
      <c r="S396" s="624" t="n"/>
      <c r="T396" s="624" t="n"/>
      <c r="U396" s="624" t="n"/>
      <c r="V396" s="624" t="n"/>
      <c r="W396" s="624" t="n"/>
      <c r="X396" s="624" t="n"/>
      <c r="Y396" s="107" t="n"/>
      <c r="Z396" s="107" t="n"/>
      <c r="AA396" s="108" t="n"/>
      <c r="AB396" s="52" t="n"/>
      <c r="AC396" s="9" t="n"/>
    </row>
    <row r="397" ht="26.1" customHeight="1">
      <c r="B397" s="187" t="n"/>
      <c r="D397" s="127" t="inlineStr">
        <is>
          <t>Clientes</t>
        </is>
      </c>
      <c r="E397" s="814" t="n"/>
      <c r="F397" s="735" t="n"/>
      <c r="G397" s="736" t="n"/>
      <c r="H397" s="581" t="inlineStr">
        <is>
          <t>Acreedores Diversos</t>
        </is>
      </c>
      <c r="I397" s="815" t="n"/>
      <c r="J397" s="815" t="n"/>
      <c r="K397" s="816" t="n"/>
      <c r="L397" s="814" t="n"/>
      <c r="M397" s="735" t="n"/>
      <c r="N397" s="736" t="n"/>
      <c r="O397" s="624" t="n"/>
      <c r="P397" s="624" t="n"/>
      <c r="Q397" s="624" t="n"/>
      <c r="R397" s="624" t="n"/>
      <c r="S397" s="624" t="n"/>
      <c r="T397" s="624" t="n"/>
      <c r="U397" s="624" t="n"/>
      <c r="V397" s="624" t="n"/>
      <c r="W397" s="624" t="n"/>
      <c r="X397" s="624" t="n"/>
      <c r="Y397" s="107" t="n"/>
      <c r="Z397" s="107" t="n"/>
      <c r="AA397" s="108" t="n"/>
      <c r="AB397" s="52" t="n"/>
      <c r="AC397" s="9" t="n"/>
    </row>
    <row r="398" ht="26.1" customHeight="1">
      <c r="B398" s="187" t="n"/>
      <c r="D398" s="127" t="inlineStr">
        <is>
          <t>Deudores Diversos</t>
        </is>
      </c>
      <c r="E398" s="814" t="n"/>
      <c r="F398" s="735" t="n"/>
      <c r="G398" s="736" t="n"/>
      <c r="H398" s="581" t="inlineStr">
        <is>
          <t>Impuestos por Pagar</t>
        </is>
      </c>
      <c r="I398" s="815" t="n"/>
      <c r="J398" s="815" t="n"/>
      <c r="K398" s="816" t="n"/>
      <c r="L398" s="814" t="n"/>
      <c r="M398" s="735" t="n"/>
      <c r="N398" s="736" t="n"/>
      <c r="O398" s="624" t="n"/>
      <c r="P398" s="624" t="n"/>
      <c r="Q398" s="624" t="n"/>
      <c r="R398" s="624" t="n"/>
      <c r="S398" s="624" t="n"/>
      <c r="T398" s="624" t="n"/>
      <c r="U398" s="624" t="n"/>
      <c r="V398" s="624" t="n"/>
      <c r="W398" s="624" t="n"/>
      <c r="X398" s="624" t="n"/>
      <c r="Y398" s="107" t="n"/>
      <c r="Z398" s="107" t="n"/>
      <c r="AA398" s="108" t="n"/>
      <c r="AB398" s="52" t="n"/>
      <c r="AC398" s="9" t="n"/>
    </row>
    <row r="399" ht="26.1" customHeight="1">
      <c r="B399" s="187" t="n"/>
      <c r="D399" s="127" t="inlineStr">
        <is>
          <t>Inventario Total</t>
        </is>
      </c>
      <c r="E399" s="814" t="n"/>
      <c r="F399" s="735" t="n"/>
      <c r="G399" s="736" t="n"/>
      <c r="H399" s="581" t="inlineStr">
        <is>
          <t>Anticipo a Clientes</t>
        </is>
      </c>
      <c r="I399" s="815" t="n"/>
      <c r="J399" s="815" t="n"/>
      <c r="K399" s="816" t="n"/>
      <c r="L399" s="814" t="n"/>
      <c r="M399" s="735" t="n"/>
      <c r="N399" s="736" t="n"/>
      <c r="O399" s="624" t="n"/>
      <c r="P399" s="624" t="n"/>
      <c r="Q399" s="624" t="n"/>
      <c r="R399" s="624" t="n"/>
      <c r="S399" s="624" t="n"/>
      <c r="T399" s="624" t="n"/>
      <c r="U399" s="624" t="n"/>
      <c r="V399" s="624" t="n"/>
      <c r="W399" s="624" t="n"/>
      <c r="X399" s="624" t="n"/>
      <c r="Y399" s="107" t="n"/>
      <c r="Z399" s="107" t="n"/>
      <c r="AA399" s="108" t="n"/>
      <c r="AB399" s="52" t="n"/>
      <c r="AC399" s="9" t="n"/>
    </row>
    <row r="400" ht="26.1" customHeight="1">
      <c r="B400" s="187" t="n"/>
      <c r="D400" s="127" t="inlineStr">
        <is>
          <t>Anticipo a Proveedores</t>
        </is>
      </c>
      <c r="E400" s="814" t="n"/>
      <c r="F400" s="735" t="n"/>
      <c r="G400" s="736" t="n"/>
      <c r="H400" s="581" t="inlineStr">
        <is>
          <t>Intercompañías</t>
        </is>
      </c>
      <c r="I400" s="815" t="n"/>
      <c r="J400" s="815" t="n"/>
      <c r="K400" s="816" t="n"/>
      <c r="L400" s="814" t="n"/>
      <c r="M400" s="735" t="n"/>
      <c r="N400" s="736" t="n"/>
      <c r="O400" s="624" t="n"/>
      <c r="P400" s="624" t="n"/>
      <c r="Q400" s="624" t="n"/>
      <c r="R400" s="624" t="n"/>
      <c r="S400" s="624" t="n"/>
      <c r="T400" s="624" t="n"/>
      <c r="U400" s="624" t="n"/>
      <c r="V400" s="624" t="n"/>
      <c r="W400" s="624" t="n"/>
      <c r="X400" s="624" t="n"/>
      <c r="Y400" s="107" t="n"/>
      <c r="Z400" s="107" t="n"/>
      <c r="AA400" s="108" t="n"/>
      <c r="AB400" s="52" t="n"/>
      <c r="AC400" s="9" t="n"/>
    </row>
    <row r="401" ht="26.1" customHeight="1">
      <c r="B401" s="187" t="n"/>
      <c r="D401" s="127" t="inlineStr">
        <is>
          <t>Anticipo a Clientes</t>
        </is>
      </c>
      <c r="E401" s="814" t="n"/>
      <c r="F401" s="735" t="n"/>
      <c r="G401" s="736" t="n"/>
      <c r="H401" s="581" t="inlineStr">
        <is>
          <t>Reservas</t>
        </is>
      </c>
      <c r="I401" s="815" t="n"/>
      <c r="J401" s="815" t="n"/>
      <c r="K401" s="816" t="n"/>
      <c r="L401" s="814" t="n"/>
      <c r="M401" s="735" t="n"/>
      <c r="N401" s="736" t="n"/>
      <c r="O401" s="624" t="n"/>
      <c r="P401" s="624" t="n"/>
      <c r="Q401" s="624" t="n"/>
      <c r="R401" s="624" t="n"/>
      <c r="S401" s="624" t="n"/>
      <c r="T401" s="624" t="n"/>
      <c r="U401" s="624" t="n"/>
      <c r="V401" s="624" t="n"/>
      <c r="W401" s="624" t="n"/>
      <c r="X401" s="624" t="n"/>
      <c r="Y401" s="107" t="n"/>
      <c r="Z401" s="107" t="n"/>
      <c r="AA401" s="108" t="n"/>
      <c r="AB401" s="52" t="n"/>
      <c r="AC401" s="9" t="n"/>
    </row>
    <row r="402" ht="26.1" customHeight="1">
      <c r="B402" s="187" t="n"/>
      <c r="D402" s="127" t="inlineStr">
        <is>
          <t>Otros Activos Corrientes</t>
        </is>
      </c>
      <c r="E402" s="814" t="n"/>
      <c r="F402" s="735" t="n"/>
      <c r="G402" s="736" t="n"/>
      <c r="H402" s="581" t="inlineStr">
        <is>
          <t>Otros Pasivos a Corto Plazo</t>
        </is>
      </c>
      <c r="I402" s="815" t="n"/>
      <c r="J402" s="815" t="n"/>
      <c r="K402" s="816" t="n"/>
      <c r="L402" s="814" t="n"/>
      <c r="M402" s="735" t="n"/>
      <c r="N402" s="736" t="n"/>
      <c r="O402" s="624" t="n"/>
      <c r="P402" s="624" t="n"/>
      <c r="Q402" s="624" t="n"/>
      <c r="R402" s="624" t="n"/>
      <c r="S402" s="624" t="n"/>
      <c r="T402" s="624" t="n"/>
      <c r="U402" s="624" t="n"/>
      <c r="V402" s="624" t="n"/>
      <c r="W402" s="624" t="n"/>
      <c r="X402" s="624" t="n"/>
      <c r="Y402" s="107" t="n"/>
      <c r="Z402" s="107" t="n"/>
      <c r="AA402" s="108" t="n"/>
      <c r="AB402" s="52" t="n"/>
      <c r="AC402" s="9" t="n"/>
    </row>
    <row r="403">
      <c r="B403" s="187" t="n"/>
      <c r="D403" s="127" t="n"/>
      <c r="E403" s="814" t="n"/>
      <c r="F403" s="735" t="n"/>
      <c r="G403" s="736" t="n"/>
      <c r="H403" s="238" t="n"/>
      <c r="I403" s="735" t="n"/>
      <c r="J403" s="735" t="n"/>
      <c r="K403" s="736" t="n"/>
      <c r="L403" s="814" t="n"/>
      <c r="M403" s="735" t="n"/>
      <c r="N403" s="736" t="n"/>
      <c r="O403" s="624" t="n"/>
      <c r="P403" s="624" t="n"/>
      <c r="Q403" s="624" t="n"/>
      <c r="R403" s="624" t="n"/>
      <c r="S403" s="624" t="n"/>
      <c r="T403" s="624" t="n"/>
      <c r="U403" s="624" t="n"/>
      <c r="V403" s="624" t="n"/>
      <c r="W403" s="624" t="n"/>
      <c r="X403" s="624" t="n"/>
      <c r="Y403" s="107" t="n"/>
      <c r="Z403" s="107" t="n"/>
      <c r="AA403" s="108" t="n"/>
      <c r="AB403" s="52" t="n"/>
      <c r="AC403" s="9" t="n"/>
    </row>
    <row r="404" ht="26.4" customHeight="1">
      <c r="B404" s="187" t="n"/>
      <c r="D404" s="126" t="inlineStr">
        <is>
          <t>Activo Corriente</t>
        </is>
      </c>
      <c r="E404" s="832">
        <f>SUM(E394:E403)</f>
        <v/>
      </c>
      <c r="F404" s="815" t="n"/>
      <c r="G404" s="816" t="n"/>
      <c r="H404" s="831" t="inlineStr">
        <is>
          <t>Pasivo Corriente</t>
        </is>
      </c>
      <c r="I404" s="815" t="n"/>
      <c r="J404" s="815" t="n"/>
      <c r="K404" s="816" t="n"/>
      <c r="L404" s="832">
        <f>SUM(L394:L403)</f>
        <v/>
      </c>
      <c r="M404" s="815" t="n"/>
      <c r="N404" s="816" t="n"/>
      <c r="O404" s="624" t="n"/>
      <c r="P404" s="624" t="n"/>
      <c r="Q404" s="624" t="n"/>
      <c r="R404" s="624" t="n"/>
      <c r="S404" s="624" t="n"/>
      <c r="T404" s="624" t="n"/>
      <c r="U404" s="624" t="n"/>
      <c r="V404" s="624" t="n"/>
      <c r="W404" s="624" t="n"/>
      <c r="X404" s="624" t="n"/>
      <c r="Y404" s="107" t="n"/>
      <c r="Z404" s="107" t="n"/>
      <c r="AA404" s="108" t="n"/>
      <c r="AB404" s="52" t="n"/>
      <c r="AC404" s="9" t="n"/>
    </row>
    <row r="405" ht="26.1" customHeight="1">
      <c r="B405" s="187" t="n"/>
      <c r="D405" s="127" t="inlineStr">
        <is>
          <t>Inmuebles</t>
        </is>
      </c>
      <c r="E405" s="814" t="n"/>
      <c r="F405" s="735" t="n"/>
      <c r="G405" s="736" t="n"/>
      <c r="H405" s="581" t="inlineStr">
        <is>
          <t>Deuda Bancaria</t>
        </is>
      </c>
      <c r="I405" s="815" t="n"/>
      <c r="J405" s="815" t="n"/>
      <c r="K405" s="816" t="n"/>
      <c r="L405" s="814" t="n"/>
      <c r="M405" s="735" t="n"/>
      <c r="N405" s="736" t="n"/>
      <c r="O405" s="624" t="n"/>
      <c r="P405" s="624" t="n"/>
      <c r="Q405" s="624" t="n"/>
      <c r="R405" s="624" t="n"/>
      <c r="S405" s="624" t="n"/>
      <c r="T405" s="624" t="n"/>
      <c r="U405" s="624" t="n"/>
      <c r="V405" s="624" t="n"/>
      <c r="W405" s="624" t="n"/>
      <c r="X405" s="624" t="n"/>
      <c r="Y405" s="107" t="n"/>
      <c r="Z405" s="107" t="n"/>
      <c r="AA405" s="108" t="n"/>
      <c r="AB405" s="52" t="n"/>
      <c r="AC405" s="9" t="n"/>
    </row>
    <row r="406" ht="26.4" customHeight="1">
      <c r="B406" s="187" t="n"/>
      <c r="D406" s="127" t="inlineStr">
        <is>
          <t>Maquinaria y Equipo</t>
        </is>
      </c>
      <c r="E406" s="814" t="n"/>
      <c r="F406" s="735" t="n"/>
      <c r="G406" s="736" t="n"/>
      <c r="H406" s="581" t="inlineStr">
        <is>
          <t>Ctas por pagar a LP</t>
        </is>
      </c>
      <c r="I406" s="815" t="n"/>
      <c r="J406" s="815" t="n"/>
      <c r="K406" s="816" t="n"/>
      <c r="L406" s="814" t="n"/>
      <c r="M406" s="735" t="n"/>
      <c r="N406" s="736" t="n"/>
      <c r="O406" s="624" t="n"/>
      <c r="P406" s="624" t="n"/>
      <c r="Q406" s="624" t="n"/>
      <c r="R406" s="624" t="n"/>
      <c r="S406" s="624" t="n"/>
      <c r="T406" s="624" t="n"/>
      <c r="U406" s="624" t="n"/>
      <c r="V406" s="624" t="n"/>
      <c r="W406" s="624" t="n"/>
      <c r="X406" s="624" t="n"/>
      <c r="Y406" s="107" t="n"/>
      <c r="Z406" s="107" t="n"/>
      <c r="AA406" s="108" t="n"/>
      <c r="AB406" s="52" t="n"/>
      <c r="AC406" s="9" t="n"/>
    </row>
    <row r="407" ht="26.4" customHeight="1">
      <c r="B407" s="187" t="n"/>
      <c r="D407" s="127" t="inlineStr">
        <is>
          <t>Otros activos fijos</t>
        </is>
      </c>
      <c r="E407" s="814" t="n"/>
      <c r="F407" s="735" t="n"/>
      <c r="G407" s="736" t="n"/>
      <c r="H407" s="831" t="inlineStr">
        <is>
          <t>Pasivo a Largo Plazo</t>
        </is>
      </c>
      <c r="I407" s="815" t="n"/>
      <c r="J407" s="815" t="n"/>
      <c r="K407" s="816" t="n"/>
      <c r="L407" s="832">
        <f>SUM(L405:L406)</f>
        <v/>
      </c>
      <c r="M407" s="815" t="n"/>
      <c r="N407" s="816" t="n"/>
      <c r="O407" s="624" t="n"/>
      <c r="P407" s="624" t="n"/>
      <c r="Q407" s="624" t="n"/>
      <c r="R407" s="624" t="n"/>
      <c r="S407" s="624" t="n"/>
      <c r="T407" s="624" t="n"/>
      <c r="U407" s="624" t="n"/>
      <c r="V407" s="624" t="n"/>
      <c r="W407" s="624" t="n"/>
      <c r="X407" s="624" t="n"/>
      <c r="Y407" s="107" t="n"/>
      <c r="Z407" s="107" t="n"/>
      <c r="AA407" s="108" t="n"/>
      <c r="AB407" s="52" t="n"/>
      <c r="AC407" s="9" t="n"/>
    </row>
    <row r="408">
      <c r="B408" s="187" t="n"/>
      <c r="D408" s="128" t="inlineStr">
        <is>
          <t>Activo Fijo</t>
        </is>
      </c>
      <c r="E408" s="832">
        <f>SUM(E405:E407)</f>
        <v/>
      </c>
      <c r="F408" s="815" t="n"/>
      <c r="G408" s="816" t="n"/>
      <c r="H408" s="238" t="n"/>
      <c r="I408" s="735" t="n"/>
      <c r="J408" s="735" t="n"/>
      <c r="K408" s="736" t="n"/>
      <c r="L408" s="814" t="n"/>
      <c r="M408" s="735" t="n"/>
      <c r="N408" s="736" t="n"/>
      <c r="O408" s="624" t="n"/>
      <c r="P408" s="624" t="n"/>
      <c r="Q408" s="624" t="n"/>
      <c r="R408" s="624" t="n"/>
      <c r="S408" s="624" t="n"/>
      <c r="T408" s="624" t="n"/>
      <c r="U408" s="624" t="n"/>
      <c r="V408" s="624" t="n"/>
      <c r="W408" s="624" t="n"/>
      <c r="X408" s="624" t="n"/>
      <c r="Y408" s="107" t="n"/>
      <c r="Z408" s="107" t="n"/>
      <c r="AA408" s="108" t="n"/>
      <c r="AB408" s="52" t="n"/>
      <c r="AC408" s="9" t="n"/>
    </row>
    <row r="409" ht="26.4" customHeight="1">
      <c r="B409" s="187" t="n"/>
      <c r="D409" s="127" t="inlineStr">
        <is>
          <t>Gastos Anticipados</t>
        </is>
      </c>
      <c r="E409" s="814" t="n"/>
      <c r="F409" s="735" t="n"/>
      <c r="G409" s="736" t="n"/>
      <c r="H409" s="831" t="inlineStr">
        <is>
          <t>Pasivo total</t>
        </is>
      </c>
      <c r="I409" s="815" t="n"/>
      <c r="J409" s="815" t="n"/>
      <c r="K409" s="816" t="n"/>
      <c r="L409" s="832">
        <f>SUM(L404+L407)</f>
        <v/>
      </c>
      <c r="M409" s="815" t="n"/>
      <c r="N409" s="816" t="n"/>
      <c r="O409" s="624" t="n"/>
      <c r="P409" s="624" t="n"/>
      <c r="Q409" s="624" t="n"/>
      <c r="R409" s="624" t="n"/>
      <c r="S409" s="624" t="n"/>
      <c r="T409" s="624" t="n"/>
      <c r="U409" s="624" t="n"/>
      <c r="V409" s="624" t="n"/>
      <c r="W409" s="624" t="n"/>
      <c r="X409" s="624" t="n"/>
      <c r="Y409" s="107" t="n"/>
      <c r="Z409" s="107" t="n"/>
      <c r="AA409" s="108" t="n"/>
      <c r="AB409" s="52" t="n"/>
      <c r="AC409" s="9" t="n"/>
    </row>
    <row r="410" ht="26.1" customHeight="1">
      <c r="B410" s="187" t="n"/>
      <c r="D410" s="127" t="inlineStr">
        <is>
          <t>Impuestos Diferidos</t>
        </is>
      </c>
      <c r="E410" s="814" t="n"/>
      <c r="F410" s="735" t="n"/>
      <c r="G410" s="736" t="n"/>
      <c r="H410" s="581" t="inlineStr">
        <is>
          <t>Capital Social</t>
        </is>
      </c>
      <c r="I410" s="815" t="n"/>
      <c r="J410" s="815" t="n"/>
      <c r="K410" s="816" t="n"/>
      <c r="L410" s="814" t="n"/>
      <c r="M410" s="735" t="n"/>
      <c r="N410" s="736" t="n"/>
      <c r="O410" s="624" t="n"/>
      <c r="P410" s="624" t="n"/>
      <c r="Q410" s="624" t="n"/>
      <c r="R410" s="624" t="n"/>
      <c r="S410" s="624" t="n"/>
      <c r="T410" s="624" t="n"/>
      <c r="U410" s="624" t="n"/>
      <c r="V410" s="624" t="n"/>
      <c r="W410" s="624" t="n"/>
      <c r="X410" s="624" t="n"/>
      <c r="Y410" s="107" t="n"/>
      <c r="Z410" s="107" t="n"/>
      <c r="AA410" s="108" t="n"/>
      <c r="AB410" s="52" t="n"/>
      <c r="AC410" s="9" t="n"/>
    </row>
    <row r="411" ht="26.4" customHeight="1">
      <c r="B411" s="187" t="n"/>
      <c r="D411" s="127" t="inlineStr">
        <is>
          <t>Otros</t>
        </is>
      </c>
      <c r="E411" s="814" t="n"/>
      <c r="F411" s="735" t="n"/>
      <c r="G411" s="736" t="n"/>
      <c r="H411" s="581" t="inlineStr">
        <is>
          <t>Reserva Legal</t>
        </is>
      </c>
      <c r="I411" s="815" t="n"/>
      <c r="J411" s="815" t="n"/>
      <c r="K411" s="816" t="n"/>
      <c r="L411" s="814" t="n"/>
      <c r="M411" s="735" t="n"/>
      <c r="N411" s="736" t="n"/>
      <c r="O411" s="624" t="n"/>
      <c r="P411" s="624" t="n"/>
      <c r="Q411" s="624" t="n"/>
      <c r="R411" s="624" t="n"/>
      <c r="S411" s="624" t="n"/>
      <c r="T411" s="624" t="n"/>
      <c r="U411" s="624" t="n"/>
      <c r="V411" s="624" t="n"/>
      <c r="W411" s="624" t="n"/>
      <c r="X411" s="624" t="n"/>
      <c r="Y411" s="107" t="n"/>
      <c r="Z411" s="107" t="n"/>
      <c r="AA411" s="108" t="n"/>
      <c r="AB411" s="52" t="n"/>
      <c r="AC411" s="9" t="n"/>
    </row>
    <row r="412" ht="26.4" customHeight="1">
      <c r="B412" s="187" t="n"/>
      <c r="D412" s="126" t="inlineStr">
        <is>
          <t>Activo diferido</t>
        </is>
      </c>
      <c r="E412" s="832">
        <f>SUM(E409:E411)</f>
        <v/>
      </c>
      <c r="F412" s="815" t="n"/>
      <c r="G412" s="816" t="n"/>
      <c r="H412" s="581" t="inlineStr">
        <is>
          <t>Superávit de Capital</t>
        </is>
      </c>
      <c r="I412" s="815" t="n"/>
      <c r="J412" s="815" t="n"/>
      <c r="K412" s="816" t="n"/>
      <c r="L412" s="814" t="n"/>
      <c r="M412" s="735" t="n"/>
      <c r="N412" s="736" t="n"/>
      <c r="O412" s="624" t="n"/>
      <c r="P412" s="624" t="n"/>
      <c r="Q412" s="624" t="n"/>
      <c r="R412" s="624" t="n"/>
      <c r="S412" s="624" t="n"/>
      <c r="T412" s="624" t="n"/>
      <c r="U412" s="624" t="n"/>
      <c r="V412" s="624" t="n"/>
      <c r="W412" s="624" t="n"/>
      <c r="X412" s="624" t="n"/>
      <c r="Y412" s="107" t="n"/>
      <c r="Z412" s="107" t="n"/>
      <c r="AA412" s="108" t="n"/>
      <c r="AB412" s="52" t="n"/>
      <c r="AC412" s="9" t="n"/>
    </row>
    <row r="413" ht="26.1" customHeight="1">
      <c r="B413" s="187" t="n"/>
      <c r="D413" s="127" t="inlineStr">
        <is>
          <t>Otros</t>
        </is>
      </c>
      <c r="E413" s="814" t="n"/>
      <c r="F413" s="735" t="n"/>
      <c r="G413" s="736" t="n"/>
      <c r="H413" s="581" t="inlineStr">
        <is>
          <t>Otras cuentas de capital</t>
        </is>
      </c>
      <c r="I413" s="815" t="n"/>
      <c r="J413" s="815" t="n"/>
      <c r="K413" s="816" t="n"/>
      <c r="L413" s="814" t="n"/>
      <c r="M413" s="735" t="n"/>
      <c r="N413" s="736" t="n"/>
      <c r="O413" s="624" t="n"/>
      <c r="P413" s="624" t="n"/>
      <c r="Q413" s="624" t="n"/>
      <c r="R413" s="624" t="n"/>
      <c r="S413" s="624" t="n"/>
      <c r="T413" s="624" t="n"/>
      <c r="U413" s="624" t="n"/>
      <c r="V413" s="624" t="n"/>
      <c r="W413" s="624" t="n"/>
      <c r="X413" s="624" t="n"/>
      <c r="Y413" s="107" t="n"/>
      <c r="Z413" s="107" t="n"/>
      <c r="AA413" s="108" t="n"/>
      <c r="AB413" s="52" t="n"/>
      <c r="AC413" s="9" t="n"/>
    </row>
    <row r="414" ht="26.1" customHeight="1">
      <c r="B414" s="187" t="n"/>
      <c r="D414" s="127" t="inlineStr">
        <is>
          <t>Otros</t>
        </is>
      </c>
      <c r="E414" s="814" t="n"/>
      <c r="F414" s="735" t="n"/>
      <c r="G414" s="736" t="n"/>
      <c r="H414" s="581" t="inlineStr">
        <is>
          <t>Resultado Ejercicios anteriores</t>
        </is>
      </c>
      <c r="I414" s="815" t="n"/>
      <c r="J414" s="815" t="n"/>
      <c r="K414" s="816" t="n"/>
      <c r="L414" s="814" t="n"/>
      <c r="M414" s="735" t="n"/>
      <c r="N414" s="736" t="n"/>
      <c r="O414" s="624" t="n"/>
      <c r="P414" s="624" t="n"/>
      <c r="Q414" s="624" t="n"/>
      <c r="R414" s="624" t="n"/>
      <c r="S414" s="624" t="n"/>
      <c r="T414" s="624" t="n"/>
      <c r="U414" s="624" t="n"/>
      <c r="V414" s="624" t="n"/>
      <c r="W414" s="624" t="n"/>
      <c r="X414" s="624" t="n"/>
      <c r="Y414" s="107" t="n"/>
      <c r="Z414" s="107" t="n"/>
      <c r="AA414" s="108" t="n"/>
      <c r="AB414" s="52" t="n"/>
      <c r="AC414" s="9" t="n"/>
    </row>
    <row r="415">
      <c r="B415" s="187" t="n"/>
      <c r="D415" s="127" t="inlineStr">
        <is>
          <t>Otros</t>
        </is>
      </c>
      <c r="E415" s="814" t="n"/>
      <c r="F415" s="735" t="n"/>
      <c r="G415" s="736" t="n"/>
      <c r="H415" s="642" t="n"/>
      <c r="I415" s="815" t="n"/>
      <c r="J415" s="815" t="n"/>
      <c r="K415" s="816" t="n"/>
      <c r="L415" s="814" t="n"/>
      <c r="M415" s="735" t="n"/>
      <c r="N415" s="736" t="n"/>
      <c r="O415" s="624" t="n"/>
      <c r="P415" s="624" t="n"/>
      <c r="Q415" s="624" t="n"/>
      <c r="R415" s="624" t="n"/>
      <c r="S415" s="624" t="n"/>
      <c r="T415" s="624" t="n"/>
      <c r="U415" s="624" t="n"/>
      <c r="V415" s="624" t="n"/>
      <c r="W415" s="624" t="n"/>
      <c r="X415" s="624" t="n"/>
      <c r="Y415" s="107" t="n"/>
      <c r="Z415" s="107" t="n"/>
      <c r="AA415" s="108" t="n"/>
      <c r="AB415" s="52" t="n"/>
      <c r="AC415" s="9" t="n"/>
    </row>
    <row r="416" ht="26.4" customHeight="1">
      <c r="B416" s="187" t="n"/>
      <c r="D416" s="127" t="inlineStr">
        <is>
          <t>Otros</t>
        </is>
      </c>
      <c r="E416" s="814" t="n"/>
      <c r="F416" s="735" t="n"/>
      <c r="G416" s="736" t="n"/>
      <c r="H416" s="831" t="inlineStr">
        <is>
          <t>Capital Contable</t>
        </is>
      </c>
      <c r="I416" s="815" t="n"/>
      <c r="J416" s="815" t="n"/>
      <c r="K416" s="816" t="n"/>
      <c r="L416" s="832">
        <f>SUM(L410:L415)</f>
        <v/>
      </c>
      <c r="M416" s="815" t="n"/>
      <c r="N416" s="816" t="n"/>
      <c r="O416" s="624" t="n"/>
      <c r="P416" s="624" t="n"/>
      <c r="Q416" s="624" t="n"/>
      <c r="R416" s="624" t="n"/>
      <c r="S416" s="624" t="n"/>
      <c r="T416" s="624" t="n"/>
      <c r="U416" s="624" t="n"/>
      <c r="V416" s="624" t="n"/>
      <c r="W416" s="624" t="n"/>
      <c r="X416" s="624" t="n"/>
      <c r="Y416" s="107" t="n"/>
      <c r="Z416" s="107" t="n"/>
      <c r="AA416" s="108" t="n"/>
      <c r="AB416" s="52" t="n"/>
      <c r="AC416" s="9" t="n"/>
    </row>
    <row r="417" ht="26.4" customHeight="1">
      <c r="B417" s="187">
        <f>IF(AND(E417&gt;-1000000000000, L417&gt;-1000000000000,E418="Validado",E404&gt;0),1,0)</f>
        <v/>
      </c>
      <c r="C417" s="190">
        <f>IF(B417=0,"*","")</f>
        <v/>
      </c>
      <c r="D417" s="126" t="inlineStr">
        <is>
          <t>Activo Total</t>
        </is>
      </c>
      <c r="E417" s="832">
        <f>SUM(E412+E408+E404+E413+E414+E415+E416)</f>
        <v/>
      </c>
      <c r="F417" s="815" t="n"/>
      <c r="G417" s="816" t="n"/>
      <c r="H417" s="831" t="inlineStr">
        <is>
          <t>Pasivo + Capital</t>
        </is>
      </c>
      <c r="I417" s="815" t="n"/>
      <c r="J417" s="815" t="n"/>
      <c r="K417" s="816" t="n"/>
      <c r="L417" s="832">
        <f>SUM(L416+L409)</f>
        <v/>
      </c>
      <c r="M417" s="815" t="n"/>
      <c r="N417" s="816" t="n"/>
      <c r="O417" s="624" t="n"/>
      <c r="P417" s="624" t="n"/>
      <c r="Q417" s="624" t="n"/>
      <c r="R417" s="624" t="n"/>
      <c r="S417" s="624" t="n"/>
      <c r="T417" s="624" t="n"/>
      <c r="U417" s="624" t="n"/>
      <c r="V417" s="624" t="n"/>
      <c r="W417" s="624" t="n"/>
      <c r="X417" s="624" t="n"/>
      <c r="Y417" s="107" t="n"/>
      <c r="Z417" s="107" t="n"/>
      <c r="AA417" s="108" t="n"/>
      <c r="AB417" s="52" t="n"/>
      <c r="AC417" s="9" t="n"/>
    </row>
    <row r="418">
      <c r="B418" s="187" t="n"/>
      <c r="D418" s="129" t="n"/>
      <c r="E418" s="630">
        <f>IF(E417=L417,"Validado","ERROR")</f>
        <v/>
      </c>
      <c r="F418" s="29" t="n"/>
      <c r="G418" s="29" t="n"/>
      <c r="H418" s="624" t="n"/>
      <c r="I418" s="624" t="n"/>
      <c r="J418" s="624" t="n"/>
      <c r="K418" s="630" t="n"/>
      <c r="L418" s="630">
        <f>E418</f>
        <v/>
      </c>
      <c r="M418" s="29" t="n"/>
      <c r="N418" s="29" t="n"/>
      <c r="O418" s="624" t="n"/>
      <c r="P418" s="624" t="n"/>
      <c r="Q418" s="624" t="n"/>
      <c r="R418" s="624" t="n"/>
      <c r="S418" s="624" t="n"/>
      <c r="T418" s="624" t="n"/>
      <c r="U418" s="624" t="n"/>
      <c r="V418" s="624" t="n"/>
      <c r="W418" s="624" t="n"/>
      <c r="X418" s="624" t="n"/>
      <c r="Y418" s="107" t="n"/>
      <c r="Z418" s="107" t="n"/>
      <c r="AA418" s="108" t="n"/>
      <c r="AB418" s="52" t="n"/>
      <c r="AC418" s="9" t="n"/>
    </row>
    <row r="419">
      <c r="B419" s="187" t="n"/>
      <c r="D419" s="129" t="n"/>
      <c r="E419" s="131" t="n"/>
      <c r="F419" s="131" t="n"/>
      <c r="G419" s="131" t="n"/>
      <c r="H419" s="624" t="n"/>
      <c r="I419" s="624" t="n"/>
      <c r="J419" s="624" t="n"/>
      <c r="K419" s="624" t="n"/>
      <c r="L419" s="624" t="n"/>
      <c r="M419" s="624" t="n"/>
      <c r="N419" s="624" t="n"/>
      <c r="O419" s="624" t="n"/>
      <c r="P419" s="624" t="n"/>
      <c r="Q419" s="624" t="n"/>
      <c r="R419" s="624" t="n"/>
      <c r="S419" s="624" t="n"/>
      <c r="T419" s="624" t="n"/>
      <c r="U419" s="624" t="n"/>
      <c r="V419" s="624" t="n"/>
      <c r="W419" s="624" t="n"/>
      <c r="X419" s="624" t="n"/>
      <c r="Y419" s="107" t="n"/>
      <c r="Z419" s="107" t="n"/>
      <c r="AA419" s="108" t="n"/>
      <c r="AB419" s="52" t="n"/>
      <c r="AC419" s="9" t="n"/>
    </row>
    <row r="420" ht="27" customHeight="1">
      <c r="B420" s="187" t="n"/>
      <c r="D420" s="833" t="inlineStr">
        <is>
          <t>Agregue más cuentras si es necesario. Si el espacio es insuficiente, anexe su información financiera completa y correcta</t>
        </is>
      </c>
      <c r="E420" s="29" t="n"/>
      <c r="F420" s="29" t="n"/>
      <c r="G420" s="29" t="n"/>
      <c r="H420" s="29" t="n"/>
      <c r="I420" s="29" t="n"/>
      <c r="J420" s="29" t="n"/>
      <c r="K420" s="29" t="n"/>
      <c r="L420" s="29" t="n"/>
      <c r="M420" s="29" t="n"/>
      <c r="N420" s="29" t="n"/>
      <c r="O420" s="29" t="n"/>
      <c r="P420" s="29" t="n"/>
      <c r="Q420" s="29" t="n"/>
      <c r="R420" s="29" t="n"/>
      <c r="S420" s="29" t="n"/>
      <c r="T420" s="29" t="n"/>
      <c r="U420" s="29" t="n"/>
      <c r="V420" s="29" t="n"/>
      <c r="W420" s="29" t="n"/>
      <c r="X420" s="29" t="n"/>
      <c r="Y420" s="29" t="n"/>
      <c r="Z420" s="29" t="n"/>
      <c r="AA420" s="813" t="n"/>
      <c r="AB420" s="52" t="n"/>
      <c r="AC420" s="9" t="n"/>
    </row>
    <row r="421" ht="27" customHeight="1" thickBot="1">
      <c r="B421" s="187" t="n"/>
      <c r="D421" s="132" t="n"/>
      <c r="E421" s="131" t="n"/>
      <c r="F421" s="133" t="n"/>
      <c r="G421" s="131" t="n"/>
      <c r="H421" s="624" t="n"/>
      <c r="I421" s="624" t="n"/>
      <c r="J421" s="624" t="n"/>
      <c r="K421" s="624" t="n"/>
      <c r="L421" s="624" t="n"/>
      <c r="M421" s="624" t="n"/>
      <c r="N421" s="624" t="n"/>
      <c r="O421" s="624" t="n"/>
      <c r="P421" s="624" t="n"/>
      <c r="Q421" s="624" t="n"/>
      <c r="R421" s="624" t="n"/>
      <c r="S421" s="624" t="n"/>
      <c r="T421" s="624" t="n"/>
      <c r="U421" s="624" t="n"/>
      <c r="V421" s="624" t="n"/>
      <c r="W421" s="624" t="n"/>
      <c r="X421" s="624" t="n"/>
      <c r="Y421" s="107" t="n"/>
      <c r="Z421" s="107" t="n"/>
      <c r="AA421" s="108" t="n"/>
      <c r="AB421" s="52" t="n"/>
      <c r="AC421" s="9" t="n"/>
    </row>
    <row r="422" ht="27" customHeight="1" thickBot="1">
      <c r="B422" s="187" t="n"/>
      <c r="D422" s="834" t="inlineStr">
        <is>
          <t>ESTADO DE PÉRDIDAS Y GANANCIAS</t>
        </is>
      </c>
      <c r="E422" s="820" t="n"/>
      <c r="F422" s="820" t="n"/>
      <c r="G422" s="835" t="n"/>
      <c r="H422" s="624" t="n"/>
      <c r="I422" s="624" t="n"/>
      <c r="J422" s="624" t="n"/>
      <c r="K422" s="624" t="n"/>
      <c r="L422" s="624" t="n"/>
      <c r="M422" s="624" t="n"/>
      <c r="N422" s="624" t="n"/>
      <c r="O422" s="624" t="n"/>
      <c r="P422" s="624" t="n"/>
      <c r="Q422" s="624" t="n"/>
      <c r="R422" s="624" t="n"/>
      <c r="S422" s="624" t="n"/>
      <c r="T422" s="624" t="n"/>
      <c r="U422" s="624" t="n"/>
      <c r="V422" s="624" t="n"/>
      <c r="W422" s="624" t="n"/>
      <c r="X422" s="624" t="n"/>
      <c r="Y422" s="107" t="n"/>
      <c r="Z422" s="107" t="n"/>
      <c r="AA422" s="108" t="n"/>
      <c r="AB422" s="52" t="n"/>
      <c r="AC422" s="9" t="n"/>
    </row>
    <row r="423">
      <c r="B423" s="187" t="n"/>
      <c r="D423" s="836" t="inlineStr">
        <is>
          <t>CONCEPTO</t>
        </is>
      </c>
      <c r="E423" s="837" t="n"/>
      <c r="F423" s="649">
        <f>J390</f>
        <v/>
      </c>
      <c r="G423" s="837" t="n"/>
      <c r="H423" s="624" t="n"/>
      <c r="I423" s="624" t="n"/>
      <c r="J423" s="624" t="n"/>
      <c r="K423" s="624" t="n"/>
      <c r="L423" s="624" t="n"/>
      <c r="M423" s="624" t="n"/>
      <c r="N423" s="624" t="n"/>
      <c r="O423" s="624" t="n"/>
      <c r="P423" s="624" t="n"/>
      <c r="Q423" s="624" t="n"/>
      <c r="R423" s="624" t="n"/>
      <c r="S423" s="624" t="n"/>
      <c r="T423" s="624" t="n"/>
      <c r="U423" s="624" t="n"/>
      <c r="V423" s="624" t="n"/>
      <c r="W423" s="624" t="n"/>
      <c r="X423" s="624" t="n"/>
      <c r="Y423" s="107" t="n"/>
      <c r="Z423" s="107" t="n"/>
      <c r="AA423" s="108" t="n"/>
      <c r="AB423" s="52" t="n"/>
      <c r="AC423" s="9" t="n"/>
    </row>
    <row r="424">
      <c r="B424" s="187" t="n"/>
      <c r="D424" s="613" t="inlineStr">
        <is>
          <t>Ventas</t>
        </is>
      </c>
      <c r="E424" s="816" t="n"/>
      <c r="F424" s="643" t="n"/>
      <c r="G424" s="736" t="n"/>
      <c r="H424" s="624" t="n"/>
      <c r="I424" s="624" t="n"/>
      <c r="J424" s="624" t="n"/>
      <c r="K424" s="624" t="n"/>
      <c r="L424" s="624" t="n"/>
      <c r="M424" s="624" t="n"/>
      <c r="N424" s="624" t="n"/>
      <c r="O424" s="624" t="n"/>
      <c r="P424" s="624" t="n"/>
      <c r="Q424" s="624" t="n"/>
      <c r="R424" s="624" t="n"/>
      <c r="S424" s="624" t="n"/>
      <c r="T424" s="624" t="n"/>
      <c r="U424" s="624" t="n"/>
      <c r="V424" s="624" t="n"/>
      <c r="W424" s="624" t="n"/>
      <c r="X424" s="624" t="n"/>
      <c r="Y424" s="107" t="n"/>
      <c r="Z424" s="107" t="n"/>
      <c r="AA424" s="108" t="n"/>
      <c r="AB424" s="52" t="n"/>
      <c r="AC424" s="9" t="n"/>
    </row>
    <row r="425">
      <c r="B425" s="187" t="n"/>
      <c r="D425" s="613" t="inlineStr">
        <is>
          <t>Costo de Ventas</t>
        </is>
      </c>
      <c r="E425" s="816" t="n"/>
      <c r="F425" s="643" t="n"/>
      <c r="G425" s="736" t="n"/>
      <c r="H425" s="624" t="n"/>
      <c r="I425" s="624" t="n"/>
      <c r="J425" s="624" t="n"/>
      <c r="K425" s="624" t="n"/>
      <c r="L425" s="624" t="n"/>
      <c r="M425" s="624" t="n"/>
      <c r="N425" s="624" t="n"/>
      <c r="O425" s="624" t="n"/>
      <c r="P425" s="624" t="n"/>
      <c r="Q425" s="624" t="n"/>
      <c r="R425" s="624" t="n"/>
      <c r="S425" s="624" t="n"/>
      <c r="T425" s="624" t="n"/>
      <c r="U425" s="624" t="n"/>
      <c r="V425" s="624" t="n"/>
      <c r="W425" s="624" t="n"/>
      <c r="X425" s="624" t="n"/>
      <c r="Y425" s="107" t="n"/>
      <c r="Z425" s="107" t="n"/>
      <c r="AA425" s="108" t="n"/>
      <c r="AB425" s="52" t="n"/>
      <c r="AC425" s="9" t="n"/>
    </row>
    <row r="426">
      <c r="B426" s="187" t="n"/>
      <c r="D426" s="126" t="inlineStr">
        <is>
          <t>Resultado Bruto</t>
        </is>
      </c>
      <c r="E426" s="816" t="n"/>
      <c r="F426" s="832">
        <f>F424-F425</f>
        <v/>
      </c>
      <c r="G426" s="816" t="n"/>
      <c r="H426" s="624" t="n"/>
      <c r="I426" s="624" t="n"/>
      <c r="J426" s="624" t="n"/>
      <c r="K426" s="624" t="n"/>
      <c r="L426" s="624" t="n"/>
      <c r="M426" s="624" t="n"/>
      <c r="N426" s="624" t="n"/>
      <c r="O426" s="624" t="n"/>
      <c r="P426" s="624" t="n"/>
      <c r="Q426" s="624" t="n"/>
      <c r="R426" s="624" t="n"/>
      <c r="S426" s="624" t="n"/>
      <c r="T426" s="624" t="n"/>
      <c r="U426" s="624" t="n"/>
      <c r="V426" s="624" t="n"/>
      <c r="W426" s="624" t="n"/>
      <c r="X426" s="624" t="n"/>
      <c r="Y426" s="107" t="n"/>
      <c r="Z426" s="107" t="n"/>
      <c r="AA426" s="108" t="n"/>
      <c r="AB426" s="52" t="n"/>
      <c r="AC426" s="9" t="n"/>
    </row>
    <row r="427">
      <c r="B427" s="187" t="n"/>
      <c r="D427" s="613" t="inlineStr">
        <is>
          <t>Gastos de Operación</t>
        </is>
      </c>
      <c r="E427" s="816" t="n"/>
      <c r="F427" s="643" t="n"/>
      <c r="G427" s="736" t="n"/>
      <c r="H427" s="624" t="n"/>
      <c r="I427" s="624" t="n"/>
      <c r="J427" s="624" t="n"/>
      <c r="K427" s="624" t="n"/>
      <c r="L427" s="624" t="n"/>
      <c r="M427" s="624" t="n"/>
      <c r="N427" s="624" t="n"/>
      <c r="O427" s="624" t="n"/>
      <c r="P427" s="624" t="n"/>
      <c r="Q427" s="624" t="n"/>
      <c r="R427" s="624" t="n"/>
      <c r="S427" s="624" t="n"/>
      <c r="T427" s="624" t="n"/>
      <c r="U427" s="624" t="n"/>
      <c r="V427" s="624" t="n"/>
      <c r="W427" s="624" t="n"/>
      <c r="X427" s="624" t="n"/>
      <c r="Y427" s="107" t="n"/>
      <c r="Z427" s="107" t="n"/>
      <c r="AA427" s="108" t="n"/>
      <c r="AB427" s="52" t="n"/>
      <c r="AC427" s="9" t="n"/>
    </row>
    <row r="428">
      <c r="B428" s="187" t="n"/>
      <c r="D428" s="613" t="inlineStr">
        <is>
          <t>Gastos Administrativos</t>
        </is>
      </c>
      <c r="E428" s="816" t="n"/>
      <c r="F428" s="643" t="n"/>
      <c r="G428" s="736" t="n"/>
      <c r="H428" s="624" t="n"/>
      <c r="I428" s="624" t="n"/>
      <c r="J428" s="624" t="n"/>
      <c r="K428" s="624" t="n"/>
      <c r="L428" s="624" t="n"/>
      <c r="M428" s="624" t="n"/>
      <c r="N428" s="624" t="n"/>
      <c r="O428" s="624" t="n"/>
      <c r="P428" s="624" t="n"/>
      <c r="Q428" s="624" t="n"/>
      <c r="R428" s="624" t="n"/>
      <c r="S428" s="624" t="n"/>
      <c r="T428" s="624" t="n"/>
      <c r="U428" s="624" t="n"/>
      <c r="V428" s="624" t="n"/>
      <c r="W428" s="624" t="n"/>
      <c r="X428" s="624" t="n"/>
      <c r="Y428" s="107" t="n"/>
      <c r="Z428" s="107" t="n"/>
      <c r="AA428" s="108" t="n"/>
      <c r="AB428" s="52" t="n"/>
      <c r="AC428" s="9" t="n"/>
    </row>
    <row r="429">
      <c r="B429" s="187" t="n"/>
      <c r="D429" s="126" t="inlineStr">
        <is>
          <t>Resultado de operación</t>
        </is>
      </c>
      <c r="E429" s="816" t="n"/>
      <c r="F429" s="832">
        <f>F426-F427-F428</f>
        <v/>
      </c>
      <c r="G429" s="816" t="n"/>
      <c r="H429" s="624" t="n"/>
      <c r="I429" s="624" t="n"/>
      <c r="J429" s="624" t="n"/>
      <c r="K429" s="624" t="n"/>
      <c r="L429" s="624" t="n"/>
      <c r="M429" s="624" t="n"/>
      <c r="N429" s="624" t="n"/>
      <c r="O429" s="624" t="n"/>
      <c r="P429" s="624" t="n"/>
      <c r="Q429" s="624" t="n"/>
      <c r="R429" s="624" t="n"/>
      <c r="S429" s="624" t="n"/>
      <c r="T429" s="624" t="n"/>
      <c r="U429" s="624" t="n"/>
      <c r="V429" s="624" t="n"/>
      <c r="W429" s="624" t="n"/>
      <c r="X429" s="624" t="n"/>
      <c r="Y429" s="107" t="n"/>
      <c r="Z429" s="107" t="n"/>
      <c r="AA429" s="108" t="n"/>
      <c r="AB429" s="52" t="n"/>
      <c r="AC429" s="9" t="n"/>
    </row>
    <row r="430">
      <c r="B430" s="187" t="n"/>
      <c r="D430" s="613" t="inlineStr">
        <is>
          <t>Otros Ingresos / Productos</t>
        </is>
      </c>
      <c r="E430" s="816" t="n"/>
      <c r="F430" s="643" t="n"/>
      <c r="G430" s="736" t="n"/>
      <c r="H430" s="624" t="n"/>
      <c r="I430" s="624" t="n"/>
      <c r="J430" s="624" t="n"/>
      <c r="K430" s="624" t="n"/>
      <c r="L430" s="624" t="n"/>
      <c r="M430" s="624" t="n"/>
      <c r="N430" s="624" t="n"/>
      <c r="O430" s="624" t="n"/>
      <c r="P430" s="624" t="n"/>
      <c r="Q430" s="624" t="n"/>
      <c r="R430" s="624" t="n"/>
      <c r="S430" s="624" t="n"/>
      <c r="T430" s="624" t="n"/>
      <c r="U430" s="624" t="n"/>
      <c r="V430" s="624" t="n"/>
      <c r="W430" s="624" t="n"/>
      <c r="X430" s="624" t="n"/>
      <c r="Y430" s="107" t="n"/>
      <c r="Z430" s="107" t="n"/>
      <c r="AA430" s="108" t="n"/>
      <c r="AB430" s="52" t="n"/>
      <c r="AC430" s="9" t="n"/>
    </row>
    <row r="431">
      <c r="B431" s="187" t="n"/>
      <c r="D431" s="613" t="inlineStr">
        <is>
          <t>Gastos Financieros</t>
        </is>
      </c>
      <c r="E431" s="816" t="n"/>
      <c r="F431" s="643" t="n"/>
      <c r="G431" s="736" t="n"/>
      <c r="H431" s="624" t="n"/>
      <c r="I431" s="624" t="n"/>
      <c r="J431" s="624" t="n"/>
      <c r="K431" s="624" t="n"/>
      <c r="L431" s="624" t="n"/>
      <c r="M431" s="624" t="n"/>
      <c r="N431" s="624" t="n"/>
      <c r="O431" s="624" t="n"/>
      <c r="P431" s="624" t="n"/>
      <c r="Q431" s="624" t="n"/>
      <c r="R431" s="624" t="n"/>
      <c r="S431" s="624" t="n"/>
      <c r="T431" s="624" t="n"/>
      <c r="U431" s="624" t="n"/>
      <c r="V431" s="624" t="n"/>
      <c r="W431" s="624" t="n"/>
      <c r="X431" s="624" t="n"/>
      <c r="Y431" s="107" t="n"/>
      <c r="Z431" s="107" t="n"/>
      <c r="AA431" s="108" t="n"/>
      <c r="AB431" s="52" t="n"/>
      <c r="AC431" s="9" t="n"/>
    </row>
    <row r="432">
      <c r="B432" s="187" t="n"/>
      <c r="D432" s="613" t="inlineStr">
        <is>
          <t>Otros Gastos</t>
        </is>
      </c>
      <c r="E432" s="816" t="n"/>
      <c r="F432" s="643" t="n"/>
      <c r="G432" s="736" t="n"/>
      <c r="H432" s="624" t="n"/>
      <c r="I432" s="624" t="n"/>
      <c r="J432" s="624" t="n"/>
      <c r="K432" s="624" t="n"/>
      <c r="L432" s="624" t="n"/>
      <c r="M432" s="624" t="n"/>
      <c r="N432" s="624" t="n"/>
      <c r="O432" s="624" t="n"/>
      <c r="P432" s="624" t="n"/>
      <c r="Q432" s="624" t="n"/>
      <c r="R432" s="624" t="n"/>
      <c r="S432" s="624" t="n"/>
      <c r="T432" s="624" t="n"/>
      <c r="U432" s="624" t="n"/>
      <c r="V432" s="624" t="n"/>
      <c r="W432" s="624" t="n"/>
      <c r="X432" s="624" t="n"/>
      <c r="Y432" s="107" t="n"/>
      <c r="Z432" s="107" t="n"/>
      <c r="AA432" s="108" t="n"/>
      <c r="AB432" s="52" t="n"/>
      <c r="AC432" s="9" t="n"/>
    </row>
    <row r="433">
      <c r="B433" s="187" t="n"/>
      <c r="D433" s="126" t="inlineStr">
        <is>
          <t>Resultado Antes de Impuestos</t>
        </is>
      </c>
      <c r="E433" s="816" t="n"/>
      <c r="F433" s="832">
        <f>F429+F430-F431-F432</f>
        <v/>
      </c>
      <c r="G433" s="816" t="n"/>
      <c r="H433" s="624" t="n"/>
      <c r="I433" s="624" t="n"/>
      <c r="J433" s="624" t="n"/>
      <c r="K433" s="624" t="n"/>
      <c r="L433" s="624" t="n"/>
      <c r="M433" s="624" t="n"/>
      <c r="N433" s="624" t="n"/>
      <c r="O433" s="624" t="n"/>
      <c r="P433" s="624" t="n"/>
      <c r="Q433" s="624" t="n"/>
      <c r="R433" s="624" t="n"/>
      <c r="S433" s="624" t="n"/>
      <c r="T433" s="624" t="n"/>
      <c r="U433" s="624" t="n"/>
      <c r="V433" s="624" t="n"/>
      <c r="W433" s="624" t="n"/>
      <c r="X433" s="624" t="n"/>
      <c r="Y433" s="107" t="n"/>
      <c r="Z433" s="107" t="n"/>
      <c r="AA433" s="108" t="n"/>
      <c r="AB433" s="52" t="n"/>
      <c r="AC433" s="9" t="n"/>
    </row>
    <row r="434">
      <c r="B434" s="187" t="n"/>
      <c r="D434" s="613" t="inlineStr">
        <is>
          <t>Impuesto al activo</t>
        </is>
      </c>
      <c r="E434" s="816" t="n"/>
      <c r="F434" s="643" t="n"/>
      <c r="G434" s="736" t="n"/>
      <c r="H434" s="624" t="n"/>
      <c r="I434" s="624" t="n"/>
      <c r="J434" s="624" t="n"/>
      <c r="K434" s="624" t="n"/>
      <c r="L434" s="624" t="n"/>
      <c r="M434" s="624" t="n"/>
      <c r="N434" s="624" t="n"/>
      <c r="O434" s="624" t="n"/>
      <c r="P434" s="624" t="n"/>
      <c r="Q434" s="624" t="n"/>
      <c r="R434" s="624" t="n"/>
      <c r="S434" s="624" t="n"/>
      <c r="T434" s="624" t="n"/>
      <c r="U434" s="624" t="n"/>
      <c r="V434" s="624" t="n"/>
      <c r="W434" s="624" t="n"/>
      <c r="X434" s="624" t="n"/>
      <c r="Y434" s="107" t="n"/>
      <c r="Z434" s="107" t="n"/>
      <c r="AA434" s="108" t="n"/>
      <c r="AB434" s="52" t="n"/>
      <c r="AC434" s="9" t="n"/>
    </row>
    <row r="435" ht="27" customHeight="1" thickBot="1">
      <c r="B435" s="187">
        <f>IF(AND(F424&lt;0,F435&gt;-1000000000000),1,0)</f>
        <v/>
      </c>
      <c r="C435" s="190">
        <f>IF(B435=0,"*","")</f>
        <v/>
      </c>
      <c r="D435" s="838" t="inlineStr">
        <is>
          <t>RESULTADO NETO</t>
        </is>
      </c>
      <c r="E435" s="839" t="n"/>
      <c r="F435" s="840">
        <f>F433-F434</f>
        <v/>
      </c>
      <c r="G435" s="839" t="n"/>
      <c r="H435" s="624" t="n"/>
      <c r="I435" s="624" t="n"/>
      <c r="J435" s="624" t="n"/>
      <c r="K435" s="624" t="n"/>
      <c r="L435" s="624" t="n"/>
      <c r="M435" s="624" t="n"/>
      <c r="N435" s="624" t="n"/>
      <c r="O435" s="624" t="n"/>
      <c r="P435" s="624" t="n"/>
      <c r="Q435" s="624" t="n"/>
      <c r="R435" s="624" t="n"/>
      <c r="S435" s="624" t="n"/>
      <c r="T435" s="624" t="n"/>
      <c r="U435" s="624" t="n"/>
      <c r="V435" s="624" t="n"/>
      <c r="W435" s="624" t="n"/>
      <c r="X435" s="624" t="n"/>
      <c r="Y435" s="107" t="n"/>
      <c r="Z435" s="107" t="n"/>
      <c r="AA435" s="108" t="n"/>
      <c r="AB435" s="52" t="n"/>
      <c r="AC435" s="9" t="n"/>
    </row>
    <row r="436" ht="27" customHeight="1" thickBot="1">
      <c r="B436" s="187" t="n"/>
      <c r="D436" s="109" t="n"/>
      <c r="E436" s="110" t="n"/>
      <c r="F436" s="110" t="n"/>
      <c r="G436" s="110" t="n"/>
      <c r="H436" s="110" t="n"/>
      <c r="I436" s="110" t="n"/>
      <c r="J436" s="110" t="n"/>
      <c r="K436" s="110" t="n"/>
      <c r="L436" s="110" t="n"/>
      <c r="M436" s="110" t="n"/>
      <c r="N436" s="110" t="n"/>
      <c r="O436" s="110" t="n"/>
      <c r="P436" s="110" t="n"/>
      <c r="Q436" s="110" t="n"/>
      <c r="R436" s="110" t="n"/>
      <c r="S436" s="110" t="n"/>
      <c r="T436" s="110" t="n"/>
      <c r="U436" s="110" t="n"/>
      <c r="V436" s="110" t="n"/>
      <c r="W436" s="110" t="n"/>
      <c r="X436" s="110" t="n"/>
      <c r="Y436" s="111" t="n"/>
      <c r="Z436" s="111" t="n"/>
      <c r="AA436" s="112" t="n"/>
      <c r="AB436" s="52" t="n"/>
      <c r="AC436" s="9" t="n"/>
    </row>
    <row r="437">
      <c r="B437" s="187" t="n"/>
      <c r="E437" s="624" t="n"/>
      <c r="F437" s="624" t="n"/>
      <c r="G437" s="624" t="n"/>
      <c r="H437" s="624" t="n"/>
      <c r="I437" s="624" t="n"/>
      <c r="J437" s="624" t="n"/>
      <c r="K437" s="624" t="n"/>
      <c r="L437" s="624" t="n"/>
      <c r="M437" s="624" t="n"/>
      <c r="N437" s="624" t="n"/>
      <c r="O437" s="624" t="n"/>
      <c r="P437" s="624" t="n"/>
      <c r="Q437" s="624" t="n"/>
      <c r="R437" s="624" t="n"/>
      <c r="S437" s="624" t="n"/>
      <c r="T437" s="624" t="n"/>
      <c r="U437" s="624" t="n"/>
      <c r="V437" s="624" t="n"/>
      <c r="W437" s="624" t="n"/>
      <c r="X437" s="624" t="n"/>
      <c r="Y437" s="308" t="n"/>
      <c r="Z437" s="308" t="n"/>
      <c r="AA437" s="308" t="n"/>
      <c r="AB437" s="52" t="n"/>
      <c r="AC437" s="9" t="n"/>
    </row>
    <row r="438" ht="27" customHeight="1" thickBot="1">
      <c r="B438" s="187" t="n"/>
      <c r="E438" s="624" t="n"/>
      <c r="F438" s="624" t="n"/>
      <c r="G438" s="624" t="n"/>
      <c r="H438" s="624" t="n"/>
      <c r="I438" s="624" t="n"/>
      <c r="J438" s="624" t="n"/>
      <c r="K438" s="624" t="n"/>
      <c r="L438" s="624" t="n"/>
      <c r="M438" s="624" t="n"/>
      <c r="N438" s="624" t="n"/>
      <c r="O438" s="624" t="n"/>
      <c r="P438" s="624" t="n"/>
      <c r="Q438" s="624" t="n"/>
      <c r="R438" s="624" t="n"/>
      <c r="S438" s="624" t="n"/>
      <c r="T438" s="624" t="n"/>
      <c r="U438" s="624" t="n"/>
      <c r="V438" s="624" t="n"/>
      <c r="W438" s="624" t="n"/>
      <c r="X438" s="624" t="n"/>
      <c r="Y438" s="308" t="n"/>
      <c r="Z438" s="308" t="n"/>
      <c r="AA438" s="308" t="n"/>
      <c r="AB438" s="52" t="n"/>
      <c r="AC438" s="9" t="n"/>
    </row>
    <row r="439" ht="27.6" customHeight="1" thickBot="1">
      <c r="B439" s="187" t="n"/>
      <c r="D439" s="841" t="inlineStr">
        <is>
          <t>COMENTARIOS ADICIONALES</t>
        </is>
      </c>
      <c r="E439" s="655" t="n"/>
      <c r="F439" s="655" t="n"/>
      <c r="G439" s="655" t="n"/>
      <c r="H439" s="655" t="n"/>
      <c r="I439" s="655" t="n"/>
      <c r="J439" s="655" t="n"/>
      <c r="K439" s="655" t="n"/>
      <c r="L439" s="655" t="n"/>
      <c r="M439" s="655" t="n"/>
      <c r="N439" s="655" t="n"/>
      <c r="O439" s="655" t="n"/>
      <c r="P439" s="655" t="n"/>
      <c r="Q439" s="655" t="n"/>
      <c r="R439" s="655" t="n"/>
      <c r="S439" s="655" t="n"/>
      <c r="T439" s="655" t="n"/>
      <c r="U439" s="655" t="n"/>
      <c r="V439" s="655" t="n"/>
      <c r="W439" s="655" t="n"/>
      <c r="X439" s="655" t="n"/>
      <c r="Y439" s="655" t="n"/>
      <c r="Z439" s="655" t="n"/>
      <c r="AA439" s="656" t="n"/>
      <c r="AB439" s="158" t="n"/>
      <c r="AC439" s="9" t="n"/>
    </row>
    <row r="440">
      <c r="B440" s="187" t="n"/>
      <c r="D440" s="586" t="inlineStr">
        <is>
          <t>Agregue cualquier otro detalle que considere importante para su evaluación:</t>
        </is>
      </c>
      <c r="E440" s="842" t="inlineStr">
        <is>
          <t>Solicitud de número D-U-N-S para Google Play Console (apps de salud Bioenlace). Persona física monotributista Argentina. CUIT 20-29486884-5. Adhesión Monotributo F.184: vigencia desde 01/08/2025 (categoría A Locaciones de Servicios). Nombre comercial: Bioenlace. Sitio: https://bioenlace.io</t>
        </is>
      </c>
      <c r="F440" s="728" t="n"/>
      <c r="G440" s="728" t="n"/>
      <c r="H440" s="728" t="n"/>
      <c r="I440" s="728" t="n"/>
      <c r="J440" s="728" t="n"/>
      <c r="K440" s="728" t="n"/>
      <c r="L440" s="728" t="n"/>
      <c r="M440" s="728" t="n"/>
      <c r="N440" s="728" t="n"/>
      <c r="O440" s="728" t="n"/>
      <c r="P440" s="728" t="n"/>
      <c r="Q440" s="728" t="n"/>
      <c r="R440" s="728" t="n"/>
      <c r="S440" s="728" t="n"/>
      <c r="T440" s="728" t="n"/>
      <c r="U440" s="728" t="n"/>
      <c r="V440" s="728" t="n"/>
      <c r="W440" s="728" t="n"/>
      <c r="X440" s="728" t="n"/>
      <c r="Y440" s="728" t="n"/>
      <c r="Z440" s="728" t="n"/>
      <c r="AA440" s="751" t="n"/>
      <c r="AB440" s="587" t="n"/>
      <c r="AC440" s="9" t="n"/>
    </row>
    <row r="441">
      <c r="B441" s="187" t="n"/>
      <c r="D441" s="660" t="n"/>
      <c r="E441" s="728" t="n"/>
      <c r="F441" s="728" t="n"/>
      <c r="G441" s="728" t="n"/>
      <c r="H441" s="728" t="n"/>
      <c r="I441" s="728" t="n"/>
      <c r="J441" s="728" t="n"/>
      <c r="K441" s="728" t="n"/>
      <c r="L441" s="728" t="n"/>
      <c r="M441" s="728" t="n"/>
      <c r="N441" s="728" t="n"/>
      <c r="O441" s="728" t="n"/>
      <c r="P441" s="728" t="n"/>
      <c r="Q441" s="728" t="n"/>
      <c r="R441" s="728" t="n"/>
      <c r="S441" s="728" t="n"/>
      <c r="T441" s="728" t="n"/>
      <c r="U441" s="728" t="n"/>
      <c r="V441" s="728" t="n"/>
      <c r="W441" s="728" t="n"/>
      <c r="X441" s="728" t="n"/>
      <c r="Y441" s="728" t="n"/>
      <c r="Z441" s="728" t="n"/>
      <c r="AA441" s="751" t="n"/>
      <c r="AB441" s="587" t="n"/>
      <c r="AC441" s="9" t="n"/>
    </row>
    <row r="442" ht="27" customHeight="1" thickBot="1">
      <c r="B442" s="187" t="n"/>
      <c r="D442" s="662" t="n"/>
      <c r="E442" s="719" t="n"/>
      <c r="F442" s="719" t="n"/>
      <c r="G442" s="719" t="n"/>
      <c r="H442" s="719" t="n"/>
      <c r="I442" s="719" t="n"/>
      <c r="J442" s="719" t="n"/>
      <c r="K442" s="719" t="n"/>
      <c r="L442" s="719" t="n"/>
      <c r="M442" s="719" t="n"/>
      <c r="N442" s="719" t="n"/>
      <c r="O442" s="719" t="n"/>
      <c r="P442" s="719" t="n"/>
      <c r="Q442" s="719" t="n"/>
      <c r="R442" s="719" t="n"/>
      <c r="S442" s="719" t="n"/>
      <c r="T442" s="719" t="n"/>
      <c r="U442" s="719" t="n"/>
      <c r="V442" s="719" t="n"/>
      <c r="W442" s="719" t="n"/>
      <c r="X442" s="719" t="n"/>
      <c r="Y442" s="719" t="n"/>
      <c r="Z442" s="719" t="n"/>
      <c r="AA442" s="753" t="n"/>
      <c r="AB442" s="587" t="n"/>
      <c r="AC442" s="9" t="n"/>
    </row>
    <row r="443">
      <c r="B443" s="187" t="n"/>
      <c r="AC443" s="9" t="n"/>
    </row>
    <row r="444">
      <c r="B444" s="187" t="n"/>
      <c r="AC444" s="9" t="n"/>
    </row>
    <row r="445">
      <c r="B445" s="187" t="n"/>
      <c r="AC445" s="9" t="n"/>
    </row>
    <row r="446">
      <c r="B446" s="187" t="n"/>
      <c r="AC446" s="9" t="n"/>
    </row>
    <row r="447">
      <c r="B447" s="187" t="n"/>
      <c r="AC447" s="9" t="n"/>
    </row>
    <row r="448" ht="27" customHeight="1" thickBot="1">
      <c r="B448" s="189" t="n"/>
      <c r="C448" s="193" t="n"/>
      <c r="D448" s="78" t="n"/>
      <c r="E448" s="79" t="n"/>
      <c r="F448" s="79" t="n"/>
      <c r="G448" s="79" t="n"/>
      <c r="H448" s="79" t="n"/>
      <c r="I448" s="79" t="n"/>
      <c r="J448" s="79" t="n"/>
      <c r="K448" s="79" t="n"/>
      <c r="L448" s="79" t="n"/>
      <c r="M448" s="79" t="n"/>
      <c r="N448" s="79" t="n"/>
      <c r="O448" s="79" t="n"/>
      <c r="P448" s="79" t="n"/>
      <c r="Q448" s="79" t="n"/>
      <c r="R448" s="79" t="n"/>
      <c r="S448" s="79" t="n"/>
      <c r="T448" s="79" t="n"/>
      <c r="U448" s="79" t="n"/>
      <c r="V448" s="79" t="n"/>
      <c r="W448" s="79" t="n"/>
      <c r="X448" s="79" t="n"/>
      <c r="Y448" s="79" t="n"/>
      <c r="Z448" s="79" t="n"/>
      <c r="AA448" s="79" t="n"/>
      <c r="AB448" s="79" t="n"/>
      <c r="AC448" s="80" t="n"/>
    </row>
  </sheetData>
  <mergeCells count="1096">
    <mergeCell ref="E225:H225"/>
    <mergeCell ref="E296:H296"/>
    <mergeCell ref="E317:AA317"/>
    <mergeCell ref="D422:G422"/>
    <mergeCell ref="M306:P306"/>
    <mergeCell ref="D423:E423"/>
    <mergeCell ref="V344:X344"/>
    <mergeCell ref="F423:G423"/>
    <mergeCell ref="Q191:T191"/>
    <mergeCell ref="I191:L191"/>
    <mergeCell ref="E227:H227"/>
    <mergeCell ref="E175:AA175"/>
    <mergeCell ref="L411:N411"/>
    <mergeCell ref="L413:N413"/>
    <mergeCell ref="E247:AA247"/>
    <mergeCell ref="I202:L202"/>
    <mergeCell ref="U144:X144"/>
    <mergeCell ref="I266:L266"/>
    <mergeCell ref="Q323:T323"/>
    <mergeCell ref="U208:X208"/>
    <mergeCell ref="N366:R366"/>
    <mergeCell ref="D426:E426"/>
    <mergeCell ref="I197:L197"/>
    <mergeCell ref="L400:N400"/>
    <mergeCell ref="D376:E376"/>
    <mergeCell ref="U145:X145"/>
    <mergeCell ref="H394:K394"/>
    <mergeCell ref="M219:P219"/>
    <mergeCell ref="Y352:AA352"/>
    <mergeCell ref="E324:H324"/>
    <mergeCell ref="U237:X237"/>
    <mergeCell ref="M311:P311"/>
    <mergeCell ref="E90:AA90"/>
    <mergeCell ref="U212:X212"/>
    <mergeCell ref="E155:H155"/>
    <mergeCell ref="L402:N402"/>
    <mergeCell ref="M212:P212"/>
    <mergeCell ref="Y351:AA351"/>
    <mergeCell ref="I231:AA232"/>
    <mergeCell ref="Q206:T206"/>
    <mergeCell ref="I146:L146"/>
    <mergeCell ref="D372:K372"/>
    <mergeCell ref="L401:N401"/>
    <mergeCell ref="Q333:T333"/>
    <mergeCell ref="M227:P227"/>
    <mergeCell ref="L395:N395"/>
    <mergeCell ref="U214:X214"/>
    <mergeCell ref="E157:H157"/>
    <mergeCell ref="M214:P214"/>
    <mergeCell ref="E222:H222"/>
    <mergeCell ref="S366:U366"/>
    <mergeCell ref="E286:H286"/>
    <mergeCell ref="N346:R346"/>
    <mergeCell ref="Q334:T334"/>
    <mergeCell ref="W314:X314"/>
    <mergeCell ref="Y188:AA188"/>
    <mergeCell ref="E367:G367"/>
    <mergeCell ref="D136:AA136"/>
    <mergeCell ref="E354:G354"/>
    <mergeCell ref="D263:AA263"/>
    <mergeCell ref="E6:G6"/>
    <mergeCell ref="E75:H75"/>
    <mergeCell ref="H405:K405"/>
    <mergeCell ref="Y190:AA190"/>
    <mergeCell ref="Q343:AA343"/>
    <mergeCell ref="E369:G369"/>
    <mergeCell ref="E298:H298"/>
    <mergeCell ref="M224:P224"/>
    <mergeCell ref="E356:G356"/>
    <mergeCell ref="M143:P143"/>
    <mergeCell ref="D431:E431"/>
    <mergeCell ref="K347:M347"/>
    <mergeCell ref="E248:H248"/>
    <mergeCell ref="Q199:T199"/>
    <mergeCell ref="E297:H297"/>
    <mergeCell ref="H407:K407"/>
    <mergeCell ref="E235:H235"/>
    <mergeCell ref="I199:L199"/>
    <mergeCell ref="Y359:AA359"/>
    <mergeCell ref="Q122:R122"/>
    <mergeCell ref="Y346:AA346"/>
    <mergeCell ref="M207:P207"/>
    <mergeCell ref="U198:X198"/>
    <mergeCell ref="E84:AA84"/>
    <mergeCell ref="J375:K375"/>
    <mergeCell ref="D8:AA8"/>
    <mergeCell ref="E320:AA320"/>
    <mergeCell ref="E299:H299"/>
    <mergeCell ref="I162:AA163"/>
    <mergeCell ref="E176:AA176"/>
    <mergeCell ref="E114:AA114"/>
    <mergeCell ref="E249:AA249"/>
    <mergeCell ref="Q225:T225"/>
    <mergeCell ref="Y348:AA348"/>
    <mergeCell ref="Q200:T200"/>
    <mergeCell ref="Q194:T194"/>
    <mergeCell ref="I134:L134"/>
    <mergeCell ref="I268:L268"/>
    <mergeCell ref="I243:L243"/>
    <mergeCell ref="E80:AA80"/>
    <mergeCell ref="I330:L330"/>
    <mergeCell ref="U227:X227"/>
    <mergeCell ref="E178:AA178"/>
    <mergeCell ref="E170:H170"/>
    <mergeCell ref="Q265:T265"/>
    <mergeCell ref="I318:AA319"/>
    <mergeCell ref="Q131:T131"/>
    <mergeCell ref="Q202:T202"/>
    <mergeCell ref="H348:J348"/>
    <mergeCell ref="M296:P296"/>
    <mergeCell ref="D389:AA389"/>
    <mergeCell ref="Q329:T329"/>
    <mergeCell ref="U209:X209"/>
    <mergeCell ref="E201:H201"/>
    <mergeCell ref="D378:E378"/>
    <mergeCell ref="N359:R359"/>
    <mergeCell ref="Y201:AA201"/>
    <mergeCell ref="E81:AA81"/>
    <mergeCell ref="U224:X224"/>
    <mergeCell ref="U195:X195"/>
    <mergeCell ref="M298:P298"/>
    <mergeCell ref="M154:P154"/>
    <mergeCell ref="M325:P325"/>
    <mergeCell ref="E154:H154"/>
    <mergeCell ref="U238:X238"/>
    <mergeCell ref="D429:E429"/>
    <mergeCell ref="L416:N416"/>
    <mergeCell ref="Y272:AA273"/>
    <mergeCell ref="D314:H314"/>
    <mergeCell ref="L403:N403"/>
    <mergeCell ref="D379:E379"/>
    <mergeCell ref="E363:G363"/>
    <mergeCell ref="Y361:AA361"/>
    <mergeCell ref="E196:H196"/>
    <mergeCell ref="M156:P156"/>
    <mergeCell ref="F379:G379"/>
    <mergeCell ref="D13:AA13"/>
    <mergeCell ref="E106:AA106"/>
    <mergeCell ref="U240:X240"/>
    <mergeCell ref="E33:AA33"/>
    <mergeCell ref="C277:C278"/>
    <mergeCell ref="J381:K381"/>
    <mergeCell ref="M305:AA305"/>
    <mergeCell ref="M155:P155"/>
    <mergeCell ref="M264:P264"/>
    <mergeCell ref="H395:K395"/>
    <mergeCell ref="E198:H198"/>
    <mergeCell ref="I187:L187"/>
    <mergeCell ref="L417:N417"/>
    <mergeCell ref="Q149:T149"/>
    <mergeCell ref="E223:H223"/>
    <mergeCell ref="Q271:T271"/>
    <mergeCell ref="F424:G424"/>
    <mergeCell ref="Q336:T336"/>
    <mergeCell ref="Y198:AA198"/>
    <mergeCell ref="V360:X360"/>
    <mergeCell ref="I189:L189"/>
    <mergeCell ref="N347:R347"/>
    <mergeCell ref="Q213:T213"/>
    <mergeCell ref="E254:H254"/>
    <mergeCell ref="Q151:T151"/>
    <mergeCell ref="E277:AA278"/>
    <mergeCell ref="H413:K413"/>
    <mergeCell ref="I188:L188"/>
    <mergeCell ref="N362:R362"/>
    <mergeCell ref="R304:AA304"/>
    <mergeCell ref="N123:O123"/>
    <mergeCell ref="N349:R349"/>
    <mergeCell ref="I218:L218"/>
    <mergeCell ref="E318:H318"/>
    <mergeCell ref="E59:AA59"/>
    <mergeCell ref="D318:D319"/>
    <mergeCell ref="E406:G406"/>
    <mergeCell ref="N364:R364"/>
    <mergeCell ref="D432:E432"/>
    <mergeCell ref="L414:N414"/>
    <mergeCell ref="D35:AA35"/>
    <mergeCell ref="E149:H149"/>
    <mergeCell ref="H408:K408"/>
    <mergeCell ref="Y193:AA193"/>
    <mergeCell ref="N124:O124"/>
    <mergeCell ref="Y347:AA347"/>
    <mergeCell ref="E15:H15"/>
    <mergeCell ref="U143:X143"/>
    <mergeCell ref="E257:H257"/>
    <mergeCell ref="E191:H191"/>
    <mergeCell ref="C275:C276"/>
    <mergeCell ref="Y323:AA325"/>
    <mergeCell ref="U297:X297"/>
    <mergeCell ref="K355:M355"/>
    <mergeCell ref="U235:X235"/>
    <mergeCell ref="E321:AA321"/>
    <mergeCell ref="M297:P297"/>
    <mergeCell ref="H410:K410"/>
    <mergeCell ref="M235:P235"/>
    <mergeCell ref="Y362:AA362"/>
    <mergeCell ref="S122:X122"/>
    <mergeCell ref="D158:X158"/>
    <mergeCell ref="S362:U362"/>
    <mergeCell ref="Y349:AA349"/>
    <mergeCell ref="H125:I125"/>
    <mergeCell ref="F427:G427"/>
    <mergeCell ref="E315:H315"/>
    <mergeCell ref="D101:AA101"/>
    <mergeCell ref="E144:H144"/>
    <mergeCell ref="Q266:T266"/>
    <mergeCell ref="I244:L244"/>
    <mergeCell ref="Q241:T241"/>
    <mergeCell ref="J383:K383"/>
    <mergeCell ref="W15:AA15"/>
    <mergeCell ref="Y364:AA364"/>
    <mergeCell ref="H397:K397"/>
    <mergeCell ref="E275:AA276"/>
    <mergeCell ref="K350:M350"/>
    <mergeCell ref="Q330:T330"/>
    <mergeCell ref="Q268:T268"/>
    <mergeCell ref="J376:K376"/>
    <mergeCell ref="U197:X197"/>
    <mergeCell ref="E181:AA181"/>
    <mergeCell ref="U330:X330"/>
    <mergeCell ref="U324:X324"/>
    <mergeCell ref="I300:L300"/>
    <mergeCell ref="E267:H267"/>
    <mergeCell ref="M324:P324"/>
    <mergeCell ref="H364:J364"/>
    <mergeCell ref="K352:M352"/>
    <mergeCell ref="I335:L335"/>
    <mergeCell ref="D221:AA221"/>
    <mergeCell ref="J378:K378"/>
    <mergeCell ref="M130:P130"/>
    <mergeCell ref="M299:P299"/>
    <mergeCell ref="D381:E381"/>
    <mergeCell ref="M188:P188"/>
    <mergeCell ref="S359:U359"/>
    <mergeCell ref="Q146:T146"/>
    <mergeCell ref="D380:E380"/>
    <mergeCell ref="F380:G380"/>
    <mergeCell ref="M328:P328"/>
    <mergeCell ref="U154:X154"/>
    <mergeCell ref="U325:X325"/>
    <mergeCell ref="I195:L195"/>
    <mergeCell ref="E206:H206"/>
    <mergeCell ref="Y367:AA367"/>
    <mergeCell ref="E34:AA34"/>
    <mergeCell ref="E394:G394"/>
    <mergeCell ref="E105:AA105"/>
    <mergeCell ref="N352:R352"/>
    <mergeCell ref="E391:G391"/>
    <mergeCell ref="F432:G432"/>
    <mergeCell ref="E99:AA99"/>
    <mergeCell ref="Y206:AA206"/>
    <mergeCell ref="V345:X345"/>
    <mergeCell ref="E333:H333"/>
    <mergeCell ref="J123:M123"/>
    <mergeCell ref="D382:E382"/>
    <mergeCell ref="F382:G382"/>
    <mergeCell ref="Q150:T150"/>
    <mergeCell ref="E36:AA36"/>
    <mergeCell ref="Q215:T215"/>
    <mergeCell ref="Y143:AA143"/>
    <mergeCell ref="I215:L215"/>
    <mergeCell ref="E416:G416"/>
    <mergeCell ref="E113:AA113"/>
    <mergeCell ref="I190:L190"/>
    <mergeCell ref="V361:X361"/>
    <mergeCell ref="M223:P223"/>
    <mergeCell ref="I260:AA261"/>
    <mergeCell ref="E343:P343"/>
    <mergeCell ref="N363:R363"/>
    <mergeCell ref="H344:J344"/>
    <mergeCell ref="E115:AA115"/>
    <mergeCell ref="Q125:R125"/>
    <mergeCell ref="Q216:T216"/>
    <mergeCell ref="I219:L219"/>
    <mergeCell ref="N355:R355"/>
    <mergeCell ref="E102:AA102"/>
    <mergeCell ref="L397:N397"/>
    <mergeCell ref="U272:X272"/>
    <mergeCell ref="U210:X210"/>
    <mergeCell ref="N365:R365"/>
    <mergeCell ref="Q218:T218"/>
    <mergeCell ref="N357:R357"/>
    <mergeCell ref="M312:P312"/>
    <mergeCell ref="V350:X350"/>
    <mergeCell ref="D234:AA234"/>
    <mergeCell ref="E242:H242"/>
    <mergeCell ref="E217:H217"/>
    <mergeCell ref="D375:E375"/>
    <mergeCell ref="U193:X193"/>
    <mergeCell ref="E192:H192"/>
    <mergeCell ref="Y217:AA217"/>
    <mergeCell ref="S364:U364"/>
    <mergeCell ref="N350:R350"/>
    <mergeCell ref="D171:AA171"/>
    <mergeCell ref="E323:H323"/>
    <mergeCell ref="U211:X211"/>
    <mergeCell ref="H411:K411"/>
    <mergeCell ref="Y333:AA336"/>
    <mergeCell ref="Q134:T134"/>
    <mergeCell ref="Q243:T243"/>
    <mergeCell ref="I208:L208"/>
    <mergeCell ref="E129:H129"/>
    <mergeCell ref="Y154:AA154"/>
    <mergeCell ref="D377:E377"/>
    <mergeCell ref="E194:H194"/>
    <mergeCell ref="F433:G433"/>
    <mergeCell ref="V351:X351"/>
    <mergeCell ref="E396:G396"/>
    <mergeCell ref="S355:U355"/>
    <mergeCell ref="K358:M358"/>
    <mergeCell ref="I145:L145"/>
    <mergeCell ref="J384:K384"/>
    <mergeCell ref="I272:L272"/>
    <mergeCell ref="Y194:AA194"/>
    <mergeCell ref="I210:L210"/>
    <mergeCell ref="Y365:AA365"/>
    <mergeCell ref="M201:P201"/>
    <mergeCell ref="N368:R368"/>
    <mergeCell ref="E131:H131"/>
    <mergeCell ref="I237:L237"/>
    <mergeCell ref="V356:X356"/>
    <mergeCell ref="F435:G435"/>
    <mergeCell ref="I209:L209"/>
    <mergeCell ref="K360:M360"/>
    <mergeCell ref="Q311:AA311"/>
    <mergeCell ref="I239:L239"/>
    <mergeCell ref="Y212:AA212"/>
    <mergeCell ref="K353:M353"/>
    <mergeCell ref="H363:J363"/>
    <mergeCell ref="S350:U350"/>
    <mergeCell ref="I238:L238"/>
    <mergeCell ref="M196:P196"/>
    <mergeCell ref="U156:X156"/>
    <mergeCell ref="M267:P267"/>
    <mergeCell ref="N360:R360"/>
    <mergeCell ref="D31:AA31"/>
    <mergeCell ref="E49:H49"/>
    <mergeCell ref="Y368:AA368"/>
    <mergeCell ref="U264:X264"/>
    <mergeCell ref="E207:H207"/>
    <mergeCell ref="U335:X335"/>
    <mergeCell ref="E163:H163"/>
    <mergeCell ref="M198:P198"/>
    <mergeCell ref="I236:L236"/>
    <mergeCell ref="E334:H334"/>
    <mergeCell ref="J124:M124"/>
    <mergeCell ref="Y207:AA207"/>
    <mergeCell ref="H358:J358"/>
    <mergeCell ref="U328:X328"/>
    <mergeCell ref="E271:H271"/>
    <mergeCell ref="H406:K406"/>
    <mergeCell ref="U157:X157"/>
    <mergeCell ref="E336:H336"/>
    <mergeCell ref="Y222:AA222"/>
    <mergeCell ref="F375:G375"/>
    <mergeCell ref="V348:X348"/>
    <mergeCell ref="Y149:AA149"/>
    <mergeCell ref="N122:O122"/>
    <mergeCell ref="S352:U352"/>
    <mergeCell ref="I265:L265"/>
    <mergeCell ref="Y314:AA314"/>
    <mergeCell ref="E273:H273"/>
    <mergeCell ref="I63:AA63"/>
    <mergeCell ref="E409:G409"/>
    <mergeCell ref="E39:AA39"/>
    <mergeCell ref="U188:X188"/>
    <mergeCell ref="I329:L329"/>
    <mergeCell ref="S360:U360"/>
    <mergeCell ref="H355:J355"/>
    <mergeCell ref="E359:G359"/>
    <mergeCell ref="I133:L133"/>
    <mergeCell ref="F383:G383"/>
    <mergeCell ref="Q239:T239"/>
    <mergeCell ref="E346:G346"/>
    <mergeCell ref="H383:I383"/>
    <mergeCell ref="E103:AA103"/>
    <mergeCell ref="M193:P193"/>
    <mergeCell ref="S353:U353"/>
    <mergeCell ref="V366:X366"/>
    <mergeCell ref="E125:G125"/>
    <mergeCell ref="H357:J357"/>
    <mergeCell ref="D121:AA121"/>
    <mergeCell ref="E200:H200"/>
    <mergeCell ref="E404:G404"/>
    <mergeCell ref="N358:R358"/>
    <mergeCell ref="M191:P191"/>
    <mergeCell ref="E348:G348"/>
    <mergeCell ref="Y225:AA225"/>
    <mergeCell ref="U219:X219"/>
    <mergeCell ref="E156:H156"/>
    <mergeCell ref="D148:AA148"/>
    <mergeCell ref="E412:G412"/>
    <mergeCell ref="E202:H202"/>
    <mergeCell ref="Y227:AA227"/>
    <mergeCell ref="V353:X353"/>
    <mergeCell ref="H417:K417"/>
    <mergeCell ref="E70:AA70"/>
    <mergeCell ref="E291:H291"/>
    <mergeCell ref="E57:AA57"/>
    <mergeCell ref="Y226:AA226"/>
    <mergeCell ref="Q236:T236"/>
    <mergeCell ref="M192:P192"/>
    <mergeCell ref="E266:H266"/>
    <mergeCell ref="E260:H260"/>
    <mergeCell ref="I224:L224"/>
    <mergeCell ref="D392:G392"/>
    <mergeCell ref="E284:H284"/>
    <mergeCell ref="I211:L211"/>
    <mergeCell ref="V367:X367"/>
    <mergeCell ref="L406:N406"/>
    <mergeCell ref="E197:H197"/>
    <mergeCell ref="V354:X354"/>
    <mergeCell ref="S358:U358"/>
    <mergeCell ref="K361:M361"/>
    <mergeCell ref="H365:J365"/>
    <mergeCell ref="I324:L324"/>
    <mergeCell ref="E58:AA58"/>
    <mergeCell ref="U201:X201"/>
    <mergeCell ref="I240:L240"/>
    <mergeCell ref="Q237:T237"/>
    <mergeCell ref="H373:I373"/>
    <mergeCell ref="N15:Q15"/>
    <mergeCell ref="E98:AA98"/>
    <mergeCell ref="L393:N393"/>
    <mergeCell ref="M146:P146"/>
    <mergeCell ref="H352:J352"/>
    <mergeCell ref="M206:P206"/>
    <mergeCell ref="E146:H146"/>
    <mergeCell ref="Y345:AA345"/>
    <mergeCell ref="M333:P333"/>
    <mergeCell ref="U132:X132"/>
    <mergeCell ref="E83:AA83"/>
    <mergeCell ref="E140:AA140"/>
    <mergeCell ref="Q214:T214"/>
    <mergeCell ref="H366:J366"/>
    <mergeCell ref="D78:AA78"/>
    <mergeCell ref="H360:J360"/>
    <mergeCell ref="E50:H50"/>
    <mergeCell ref="D339:AA339"/>
    <mergeCell ref="U196:X196"/>
    <mergeCell ref="E213:H213"/>
    <mergeCell ref="E151:H151"/>
    <mergeCell ref="Q312:AA312"/>
    <mergeCell ref="Y235:AA244"/>
    <mergeCell ref="D161:AA161"/>
    <mergeCell ref="U207:X207"/>
    <mergeCell ref="E177:AA177"/>
    <mergeCell ref="U334:X334"/>
    <mergeCell ref="S123:X123"/>
    <mergeCell ref="D332:AA332"/>
    <mergeCell ref="E215:H215"/>
    <mergeCell ref="M334:P334"/>
    <mergeCell ref="E150:H150"/>
    <mergeCell ref="E400:G400"/>
    <mergeCell ref="V347:X347"/>
    <mergeCell ref="Y215:AA215"/>
    <mergeCell ref="I48:AA49"/>
    <mergeCell ref="U271:X271"/>
    <mergeCell ref="U336:X336"/>
    <mergeCell ref="F385:G385"/>
    <mergeCell ref="E45:AA45"/>
    <mergeCell ref="H385:I385"/>
    <mergeCell ref="E118:H118"/>
    <mergeCell ref="Q240:T240"/>
    <mergeCell ref="E347:G347"/>
    <mergeCell ref="H384:I384"/>
    <mergeCell ref="E418:G418"/>
    <mergeCell ref="D440:D442"/>
    <mergeCell ref="E226:H226"/>
    <mergeCell ref="E362:G362"/>
    <mergeCell ref="S346:U346"/>
    <mergeCell ref="K349:M349"/>
    <mergeCell ref="M217:P217"/>
    <mergeCell ref="H350:J350"/>
    <mergeCell ref="E349:G349"/>
    <mergeCell ref="U298:X298"/>
    <mergeCell ref="I15:M15"/>
    <mergeCell ref="Q192:T192"/>
    <mergeCell ref="J373:K373"/>
    <mergeCell ref="H400:K400"/>
    <mergeCell ref="M225:P225"/>
    <mergeCell ref="S348:U348"/>
    <mergeCell ref="E364:G364"/>
    <mergeCell ref="I314:V316"/>
    <mergeCell ref="E413:G413"/>
    <mergeCell ref="M200:P200"/>
    <mergeCell ref="I281:AA293"/>
    <mergeCell ref="N361:R361"/>
    <mergeCell ref="U191:X191"/>
    <mergeCell ref="E134:H134"/>
    <mergeCell ref="M194:P194"/>
    <mergeCell ref="E243:H243"/>
    <mergeCell ref="Y144:AA146"/>
    <mergeCell ref="E71:AA71"/>
    <mergeCell ref="H354:J354"/>
    <mergeCell ref="E292:H292"/>
    <mergeCell ref="H402:K402"/>
    <mergeCell ref="M131:P131"/>
    <mergeCell ref="D53:AA53"/>
    <mergeCell ref="M202:P202"/>
    <mergeCell ref="Y296:AA300"/>
    <mergeCell ref="D281:H281"/>
    <mergeCell ref="E79:AA79"/>
    <mergeCell ref="Q187:T187"/>
    <mergeCell ref="J122:M122"/>
    <mergeCell ref="D304:L313"/>
    <mergeCell ref="H356:J356"/>
    <mergeCell ref="Q195:T195"/>
    <mergeCell ref="H392:N392"/>
    <mergeCell ref="Q189:T189"/>
    <mergeCell ref="E165:H165"/>
    <mergeCell ref="E137:AA137"/>
    <mergeCell ref="U222:X222"/>
    <mergeCell ref="Q238:T238"/>
    <mergeCell ref="I325:L325"/>
    <mergeCell ref="E173:AA173"/>
    <mergeCell ref="Y155:AA157"/>
    <mergeCell ref="S361:U361"/>
    <mergeCell ref="D142:AA142"/>
    <mergeCell ref="D9:AA11"/>
    <mergeCell ref="K368:M368"/>
    <mergeCell ref="E344:G344"/>
    <mergeCell ref="Q190:T190"/>
    <mergeCell ref="Y196:AA196"/>
    <mergeCell ref="I264:L264"/>
    <mergeCell ref="L396:N396"/>
    <mergeCell ref="E368:G368"/>
    <mergeCell ref="Y125:AA125"/>
    <mergeCell ref="U296:X296"/>
    <mergeCell ref="M271:P271"/>
    <mergeCell ref="M149:P149"/>
    <mergeCell ref="D424:E424"/>
    <mergeCell ref="E408:G408"/>
    <mergeCell ref="Q205:T205"/>
    <mergeCell ref="E241:H241"/>
    <mergeCell ref="I205:L205"/>
    <mergeCell ref="L398:N398"/>
    <mergeCell ref="I183:AA184"/>
    <mergeCell ref="U273:X273"/>
    <mergeCell ref="E216:H216"/>
    <mergeCell ref="M213:P213"/>
    <mergeCell ref="F430:G430"/>
    <mergeCell ref="M273:P273"/>
    <mergeCell ref="E352:G352"/>
    <mergeCell ref="E287:H287"/>
    <mergeCell ref="Y130:AA134"/>
    <mergeCell ref="M151:P151"/>
    <mergeCell ref="Y216:AA216"/>
    <mergeCell ref="Y191:AA191"/>
    <mergeCell ref="Q129:T129"/>
    <mergeCell ref="E218:H218"/>
    <mergeCell ref="V363:X363"/>
    <mergeCell ref="Q144:T144"/>
    <mergeCell ref="Y218:AA218"/>
    <mergeCell ref="E67:AA67"/>
    <mergeCell ref="E282:H282"/>
    <mergeCell ref="D43:AA43"/>
    <mergeCell ref="E399:G399"/>
    <mergeCell ref="H351:J351"/>
    <mergeCell ref="E355:G355"/>
    <mergeCell ref="U199:X199"/>
    <mergeCell ref="E87:AA87"/>
    <mergeCell ref="U226:X226"/>
    <mergeCell ref="H401:K401"/>
    <mergeCell ref="M226:P226"/>
    <mergeCell ref="E365:G365"/>
    <mergeCell ref="U217:X217"/>
    <mergeCell ref="D253:H253"/>
    <mergeCell ref="D3:AA3"/>
    <mergeCell ref="U241:X241"/>
    <mergeCell ref="M266:P266"/>
    <mergeCell ref="E73:H73"/>
    <mergeCell ref="L409:N409"/>
    <mergeCell ref="E244:H244"/>
    <mergeCell ref="M241:P241"/>
    <mergeCell ref="H403:K403"/>
    <mergeCell ref="E252:AA252"/>
    <mergeCell ref="E231:H231"/>
    <mergeCell ref="M222:P222"/>
    <mergeCell ref="E236:H236"/>
    <mergeCell ref="D303:AA303"/>
    <mergeCell ref="U243:X243"/>
    <mergeCell ref="U194:X194"/>
    <mergeCell ref="M268:P268"/>
    <mergeCell ref="V368:X368"/>
    <mergeCell ref="H376:I376"/>
    <mergeCell ref="Q197:T197"/>
    <mergeCell ref="Q324:T324"/>
    <mergeCell ref="E110:AA110"/>
    <mergeCell ref="U131:X131"/>
    <mergeCell ref="Y344:AA344"/>
    <mergeCell ref="E74:H74"/>
    <mergeCell ref="M310:P310"/>
    <mergeCell ref="E335:H335"/>
    <mergeCell ref="Y264:AA268"/>
    <mergeCell ref="I155:L155"/>
    <mergeCell ref="E166:H166"/>
    <mergeCell ref="I130:L130"/>
    <mergeCell ref="Q188:T188"/>
    <mergeCell ref="E174:AA174"/>
    <mergeCell ref="U146:X146"/>
    <mergeCell ref="L415:N415"/>
    <mergeCell ref="H380:I380"/>
    <mergeCell ref="K345:M345"/>
    <mergeCell ref="I328:L328"/>
    <mergeCell ref="E168:H168"/>
    <mergeCell ref="Q325:T325"/>
    <mergeCell ref="I132:L132"/>
    <mergeCell ref="I157:L157"/>
    <mergeCell ref="D374:E374"/>
    <mergeCell ref="E440:AA442"/>
    <mergeCell ref="I193:L193"/>
    <mergeCell ref="H382:I382"/>
    <mergeCell ref="Q196:T196"/>
    <mergeCell ref="J382:K382"/>
    <mergeCell ref="M150:P150"/>
    <mergeCell ref="H396:K396"/>
    <mergeCell ref="E199:H199"/>
    <mergeCell ref="E255:H255"/>
    <mergeCell ref="E360:G360"/>
    <mergeCell ref="M215:P215"/>
    <mergeCell ref="D425:E425"/>
    <mergeCell ref="U299:X299"/>
    <mergeCell ref="H414:K414"/>
    <mergeCell ref="E92:AA92"/>
    <mergeCell ref="Y199:AA199"/>
    <mergeCell ref="L399:N399"/>
    <mergeCell ref="M323:P323"/>
    <mergeCell ref="D274:AA274"/>
    <mergeCell ref="H398:K398"/>
    <mergeCell ref="D427:E427"/>
    <mergeCell ref="Q208:T208"/>
    <mergeCell ref="H416:K416"/>
    <mergeCell ref="E94:AA94"/>
    <mergeCell ref="Y355:AA355"/>
    <mergeCell ref="E48:H48"/>
    <mergeCell ref="E219:H219"/>
    <mergeCell ref="E290:H290"/>
    <mergeCell ref="M216:P216"/>
    <mergeCell ref="Q145:T145"/>
    <mergeCell ref="Q272:T272"/>
    <mergeCell ref="Q210:T210"/>
    <mergeCell ref="E108:AA108"/>
    <mergeCell ref="Y357:AA357"/>
    <mergeCell ref="M218:P218"/>
    <mergeCell ref="I212:L212"/>
    <mergeCell ref="Q209:T209"/>
    <mergeCell ref="E95:AA95"/>
    <mergeCell ref="E390:F390"/>
    <mergeCell ref="S125:X125"/>
    <mergeCell ref="U225:X225"/>
    <mergeCell ref="Q193:T193"/>
    <mergeCell ref="I214:L214"/>
    <mergeCell ref="Q211:T211"/>
    <mergeCell ref="M243:P243"/>
    <mergeCell ref="U267:X267"/>
    <mergeCell ref="E72:AA72"/>
    <mergeCell ref="U242:X242"/>
    <mergeCell ref="E358:G358"/>
    <mergeCell ref="E164:AA164"/>
    <mergeCell ref="M242:P242"/>
    <mergeCell ref="E316:H316"/>
    <mergeCell ref="H6:J6"/>
    <mergeCell ref="I248:AA248"/>
    <mergeCell ref="D229:AA229"/>
    <mergeCell ref="Y129:AA129"/>
    <mergeCell ref="H409:K409"/>
    <mergeCell ref="Q124:R124"/>
    <mergeCell ref="I201:L201"/>
    <mergeCell ref="Y123:AA123"/>
    <mergeCell ref="E237:H237"/>
    <mergeCell ref="D204:AA204"/>
    <mergeCell ref="U244:X244"/>
    <mergeCell ref="L418:N418"/>
    <mergeCell ref="F426:G426"/>
    <mergeCell ref="D435:E435"/>
    <mergeCell ref="L412:N412"/>
    <mergeCell ref="M244:P244"/>
    <mergeCell ref="E187:H187"/>
    <mergeCell ref="N345:R345"/>
    <mergeCell ref="K351:M351"/>
    <mergeCell ref="E76:H76"/>
    <mergeCell ref="Y187:AA187"/>
    <mergeCell ref="M336:P336"/>
    <mergeCell ref="Q300:T300"/>
    <mergeCell ref="E239:H239"/>
    <mergeCell ref="D428:E428"/>
    <mergeCell ref="V349:X349"/>
    <mergeCell ref="E189:H189"/>
    <mergeCell ref="F428:G428"/>
    <mergeCell ref="E238:H238"/>
    <mergeCell ref="Y124:AA124"/>
    <mergeCell ref="E259:AA259"/>
    <mergeCell ref="I196:L196"/>
    <mergeCell ref="J379:K379"/>
    <mergeCell ref="R15:V15"/>
    <mergeCell ref="Y189:AA189"/>
    <mergeCell ref="Y360:AA360"/>
    <mergeCell ref="I267:L267"/>
    <mergeCell ref="E44:AA44"/>
    <mergeCell ref="K359:M359"/>
    <mergeCell ref="H123:I123"/>
    <mergeCell ref="Q133:T133"/>
    <mergeCell ref="K346:M346"/>
    <mergeCell ref="I207:L207"/>
    <mergeCell ref="Q264:T264"/>
    <mergeCell ref="Q335:T335"/>
    <mergeCell ref="U155:X155"/>
    <mergeCell ref="I198:L198"/>
    <mergeCell ref="U149:X149"/>
    <mergeCell ref="I296:L296"/>
    <mergeCell ref="I271:L271"/>
    <mergeCell ref="K348:M348"/>
    <mergeCell ref="Q328:T328"/>
    <mergeCell ref="D322:AA322"/>
    <mergeCell ref="J374:K374"/>
    <mergeCell ref="D89:AA89"/>
    <mergeCell ref="E361:G361"/>
    <mergeCell ref="U213:X213"/>
    <mergeCell ref="I227:L227"/>
    <mergeCell ref="E205:H205"/>
    <mergeCell ref="U151:X151"/>
    <mergeCell ref="I165:AA170"/>
    <mergeCell ref="I298:L298"/>
    <mergeCell ref="E265:H265"/>
    <mergeCell ref="Y200:AA200"/>
    <mergeCell ref="Q224:T224"/>
    <mergeCell ref="Y271:AA271"/>
    <mergeCell ref="Y205:AA205"/>
    <mergeCell ref="I273:L273"/>
    <mergeCell ref="M237:P237"/>
    <mergeCell ref="E415:G415"/>
    <mergeCell ref="D153:AA153"/>
    <mergeCell ref="Y363:AA363"/>
    <mergeCell ref="H399:K399"/>
    <mergeCell ref="U150:X150"/>
    <mergeCell ref="U215:X215"/>
    <mergeCell ref="E179:AA179"/>
    <mergeCell ref="E329:H329"/>
    <mergeCell ref="Y202:AA202"/>
    <mergeCell ref="H353:J353"/>
    <mergeCell ref="M239:P239"/>
    <mergeCell ref="D388:AA388"/>
    <mergeCell ref="D383:E383"/>
    <mergeCell ref="U323:X323"/>
    <mergeCell ref="E32:AA32"/>
    <mergeCell ref="E37:AA37"/>
    <mergeCell ref="E97:AA97"/>
    <mergeCell ref="E162:H162"/>
    <mergeCell ref="E109:AA109"/>
    <mergeCell ref="F376:G376"/>
    <mergeCell ref="Y358:AA358"/>
    <mergeCell ref="E47:AA47"/>
    <mergeCell ref="E96:AA96"/>
    <mergeCell ref="Q219:T219"/>
    <mergeCell ref="E139:AA139"/>
    <mergeCell ref="M313:P313"/>
    <mergeCell ref="M304:Q304"/>
    <mergeCell ref="L408:N408"/>
    <mergeCell ref="E111:AA111"/>
    <mergeCell ref="E366:G366"/>
    <mergeCell ref="Q212:T212"/>
    <mergeCell ref="E397:G397"/>
    <mergeCell ref="N125:O125"/>
    <mergeCell ref="Q217:T217"/>
    <mergeCell ref="N351:R351"/>
    <mergeCell ref="E184:H184"/>
    <mergeCell ref="D186:AA186"/>
    <mergeCell ref="U206:X206"/>
    <mergeCell ref="U333:X333"/>
    <mergeCell ref="I192:L192"/>
    <mergeCell ref="Q227:T227"/>
    <mergeCell ref="D439:AA439"/>
    <mergeCell ref="E405:G405"/>
    <mergeCell ref="D434:E434"/>
    <mergeCell ref="E195:H195"/>
    <mergeCell ref="V359:X359"/>
    <mergeCell ref="N353:R353"/>
    <mergeCell ref="I222:L222"/>
    <mergeCell ref="V346:X346"/>
    <mergeCell ref="M308:P308"/>
    <mergeCell ref="Y195:AA195"/>
    <mergeCell ref="E410:G410"/>
    <mergeCell ref="E188:H188"/>
    <mergeCell ref="Y213:AA213"/>
    <mergeCell ref="Q130:T130"/>
    <mergeCell ref="H412:K412"/>
    <mergeCell ref="E240:H240"/>
    <mergeCell ref="Y197:AA197"/>
    <mergeCell ref="D373:E373"/>
    <mergeCell ref="K367:M367"/>
    <mergeCell ref="E190:H190"/>
    <mergeCell ref="F429:G429"/>
    <mergeCell ref="N348:R348"/>
    <mergeCell ref="K354:M354"/>
    <mergeCell ref="S351:U351"/>
    <mergeCell ref="J380:K380"/>
    <mergeCell ref="S345:U345"/>
    <mergeCell ref="Q132:T132"/>
    <mergeCell ref="I206:L206"/>
    <mergeCell ref="V365:X365"/>
    <mergeCell ref="E116:AA116"/>
    <mergeCell ref="H124:I124"/>
    <mergeCell ref="K369:M369"/>
    <mergeCell ref="Y353:AA353"/>
    <mergeCell ref="F431:G431"/>
    <mergeCell ref="E319:H319"/>
    <mergeCell ref="E91:AA91"/>
    <mergeCell ref="K356:M356"/>
    <mergeCell ref="I143:L143"/>
    <mergeCell ref="Q143:T143"/>
    <mergeCell ref="E85:AA85"/>
    <mergeCell ref="I297:L297"/>
    <mergeCell ref="M199:P199"/>
    <mergeCell ref="I235:L235"/>
    <mergeCell ref="Q207:T207"/>
    <mergeCell ref="E93:AA93"/>
    <mergeCell ref="D4:S4"/>
    <mergeCell ref="I299:L299"/>
    <mergeCell ref="K364:M364"/>
    <mergeCell ref="H361:J361"/>
    <mergeCell ref="M309:P309"/>
    <mergeCell ref="J390:L390"/>
    <mergeCell ref="U200:X200"/>
    <mergeCell ref="M330:P330"/>
    <mergeCell ref="M134:P134"/>
    <mergeCell ref="U265:X265"/>
    <mergeCell ref="E208:H208"/>
    <mergeCell ref="E330:H330"/>
    <mergeCell ref="D385:E385"/>
    <mergeCell ref="Q307:AA307"/>
    <mergeCell ref="E268:H268"/>
    <mergeCell ref="M265:P265"/>
    <mergeCell ref="E393:G393"/>
    <mergeCell ref="F434:G434"/>
    <mergeCell ref="I253:AA257"/>
    <mergeCell ref="Y208:AA208"/>
    <mergeCell ref="M240:P240"/>
    <mergeCell ref="D384:E384"/>
    <mergeCell ref="D327:AA327"/>
    <mergeCell ref="Y366:AA366"/>
    <mergeCell ref="E145:H145"/>
    <mergeCell ref="U202:X202"/>
    <mergeCell ref="U329:X329"/>
    <mergeCell ref="E272:H272"/>
    <mergeCell ref="F378:G378"/>
    <mergeCell ref="F384:G384"/>
    <mergeCell ref="H369:J369"/>
    <mergeCell ref="E38:AA38"/>
    <mergeCell ref="H378:I378"/>
    <mergeCell ref="E210:H210"/>
    <mergeCell ref="E124:G124"/>
    <mergeCell ref="I217:L217"/>
    <mergeCell ref="Y210:AA210"/>
    <mergeCell ref="Q298:T298"/>
    <mergeCell ref="Q154:T154"/>
    <mergeCell ref="I154:L154"/>
    <mergeCell ref="F373:G373"/>
    <mergeCell ref="I225:L225"/>
    <mergeCell ref="I129:L129"/>
    <mergeCell ref="I200:L200"/>
    <mergeCell ref="Y122:AA122"/>
    <mergeCell ref="I194:L194"/>
    <mergeCell ref="D251:AA251"/>
    <mergeCell ref="H379:I379"/>
    <mergeCell ref="E407:G407"/>
    <mergeCell ref="Q156:T156"/>
    <mergeCell ref="E104:AA104"/>
    <mergeCell ref="I156:L156"/>
    <mergeCell ref="E63:H63"/>
    <mergeCell ref="K357:M357"/>
    <mergeCell ref="H393:K393"/>
    <mergeCell ref="K344:M344"/>
    <mergeCell ref="E357:G357"/>
    <mergeCell ref="I131:L131"/>
    <mergeCell ref="N367:R367"/>
    <mergeCell ref="Q155:T155"/>
    <mergeCell ref="F381:G381"/>
    <mergeCell ref="H345:J345"/>
    <mergeCell ref="H381:I381"/>
    <mergeCell ref="N354:R354"/>
    <mergeCell ref="M187:P187"/>
    <mergeCell ref="D280:AA280"/>
    <mergeCell ref="I223:L223"/>
    <mergeCell ref="E261:H261"/>
    <mergeCell ref="E123:G123"/>
    <mergeCell ref="E411:G411"/>
    <mergeCell ref="D246:AA246"/>
    <mergeCell ref="V362:X362"/>
    <mergeCell ref="M195:P195"/>
    <mergeCell ref="E402:G402"/>
    <mergeCell ref="N356:R356"/>
    <mergeCell ref="M189:P189"/>
    <mergeCell ref="E300:H300"/>
    <mergeCell ref="D338:AA338"/>
    <mergeCell ref="Y223:AA223"/>
    <mergeCell ref="E119:H119"/>
    <mergeCell ref="E66:AA66"/>
    <mergeCell ref="M238:P238"/>
    <mergeCell ref="I117:AA119"/>
    <mergeCell ref="H349:J349"/>
    <mergeCell ref="E325:H325"/>
    <mergeCell ref="V364:X364"/>
    <mergeCell ref="E256:H256"/>
    <mergeCell ref="Y150:AA151"/>
    <mergeCell ref="Y328:AA330"/>
    <mergeCell ref="E183:H183"/>
    <mergeCell ref="H415:K415"/>
    <mergeCell ref="E68:AA68"/>
    <mergeCell ref="U133:X133"/>
    <mergeCell ref="U190:X190"/>
    <mergeCell ref="E55:AA55"/>
    <mergeCell ref="Q296:T296"/>
    <mergeCell ref="M190:P190"/>
    <mergeCell ref="E193:H193"/>
    <mergeCell ref="E264:H264"/>
    <mergeCell ref="S367:U367"/>
    <mergeCell ref="S354:U354"/>
    <mergeCell ref="Y354:AA354"/>
    <mergeCell ref="K362:M362"/>
    <mergeCell ref="I149:L149"/>
    <mergeCell ref="M205:P205"/>
    <mergeCell ref="Q313:AA313"/>
    <mergeCell ref="E107:AA107"/>
    <mergeCell ref="F374:G374"/>
    <mergeCell ref="Y356:AA356"/>
    <mergeCell ref="H374:I374"/>
    <mergeCell ref="S356:U356"/>
    <mergeCell ref="Q273:T273"/>
    <mergeCell ref="I213:L213"/>
    <mergeCell ref="I151:L151"/>
    <mergeCell ref="S124:X124"/>
    <mergeCell ref="D430:E430"/>
    <mergeCell ref="Q235:T235"/>
    <mergeCell ref="Q297:T297"/>
    <mergeCell ref="M329:P329"/>
    <mergeCell ref="M129:P129"/>
    <mergeCell ref="E401:G401"/>
    <mergeCell ref="E395:G395"/>
    <mergeCell ref="I144:L144"/>
    <mergeCell ref="U266:X266"/>
    <mergeCell ref="I242:L242"/>
    <mergeCell ref="E209:H209"/>
    <mergeCell ref="M144:P144"/>
    <mergeCell ref="Q308:AA308"/>
    <mergeCell ref="E46:AA46"/>
    <mergeCell ref="Y209:AA209"/>
    <mergeCell ref="V357:X357"/>
    <mergeCell ref="I73:AA76"/>
    <mergeCell ref="Q123:R123"/>
    <mergeCell ref="J385:K385"/>
    <mergeCell ref="U268:X268"/>
    <mergeCell ref="E211:H211"/>
    <mergeCell ref="Q310:AA310"/>
    <mergeCell ref="D295:AA295"/>
    <mergeCell ref="Y224:AA224"/>
    <mergeCell ref="D172:AA172"/>
    <mergeCell ref="Y211:AA211"/>
    <mergeCell ref="N344:R344"/>
    <mergeCell ref="G390:I390"/>
    <mergeCell ref="D270:AA270"/>
    <mergeCell ref="S347:U347"/>
    <mergeCell ref="E54:AA54"/>
    <mergeCell ref="M335:P335"/>
    <mergeCell ref="Q299:T299"/>
    <mergeCell ref="Q226:T226"/>
    <mergeCell ref="Q201:T201"/>
    <mergeCell ref="E340:H340"/>
    <mergeCell ref="E112:AA112"/>
    <mergeCell ref="V358:X358"/>
    <mergeCell ref="E398:G398"/>
    <mergeCell ref="V352:X352"/>
    <mergeCell ref="I226:L226"/>
    <mergeCell ref="S349:U349"/>
    <mergeCell ref="E56:AA56"/>
    <mergeCell ref="I241:L241"/>
    <mergeCell ref="Q157:T157"/>
    <mergeCell ref="U192:X192"/>
    <mergeCell ref="Q222:T222"/>
    <mergeCell ref="I333:L333"/>
    <mergeCell ref="H122:I122"/>
    <mergeCell ref="J125:M125"/>
    <mergeCell ref="H359:J359"/>
    <mergeCell ref="D61:AA61"/>
    <mergeCell ref="H346:J346"/>
    <mergeCell ref="U129:X129"/>
    <mergeCell ref="E350:G350"/>
    <mergeCell ref="M197:P197"/>
    <mergeCell ref="S357:U357"/>
    <mergeCell ref="S344:U344"/>
    <mergeCell ref="E289:H289"/>
    <mergeCell ref="E414:G414"/>
    <mergeCell ref="U187:X187"/>
    <mergeCell ref="E130:H130"/>
    <mergeCell ref="Q223:T223"/>
    <mergeCell ref="L404:N404"/>
    <mergeCell ref="V355:X355"/>
    <mergeCell ref="U223:X223"/>
    <mergeCell ref="E138:AA138"/>
    <mergeCell ref="E117:H117"/>
    <mergeCell ref="D277:D278"/>
    <mergeCell ref="D62:AA62"/>
    <mergeCell ref="E230:AA230"/>
    <mergeCell ref="E345:G345"/>
    <mergeCell ref="M132:P132"/>
    <mergeCell ref="U189:X189"/>
    <mergeCell ref="E328:H328"/>
    <mergeCell ref="U216:X216"/>
    <mergeCell ref="E132:H132"/>
    <mergeCell ref="E69:AA69"/>
    <mergeCell ref="E224:H224"/>
    <mergeCell ref="S368:U368"/>
    <mergeCell ref="E143:H143"/>
    <mergeCell ref="K363:M363"/>
    <mergeCell ref="I150:L150"/>
    <mergeCell ref="F425:G425"/>
    <mergeCell ref="U218:X218"/>
    <mergeCell ref="E122:G122"/>
    <mergeCell ref="E288:H288"/>
    <mergeCell ref="N369:AA369"/>
    <mergeCell ref="L410:N410"/>
    <mergeCell ref="H375:I375"/>
    <mergeCell ref="E403:G403"/>
    <mergeCell ref="K365:M365"/>
    <mergeCell ref="I323:L323"/>
    <mergeCell ref="U134:X134"/>
    <mergeCell ref="M208:P208"/>
    <mergeCell ref="U205:X205"/>
    <mergeCell ref="F377:G377"/>
    <mergeCell ref="H377:I377"/>
    <mergeCell ref="Y192:AA192"/>
    <mergeCell ref="H368:J368"/>
    <mergeCell ref="E86:AA86"/>
    <mergeCell ref="I216:L216"/>
    <mergeCell ref="M145:P145"/>
    <mergeCell ref="D433:E433"/>
    <mergeCell ref="M272:P272"/>
    <mergeCell ref="M210:P210"/>
    <mergeCell ref="K366:M366"/>
    <mergeCell ref="E258:AA258"/>
    <mergeCell ref="Y219:AA219"/>
    <mergeCell ref="D275:D276"/>
    <mergeCell ref="L394:N394"/>
    <mergeCell ref="M209:P209"/>
    <mergeCell ref="E212:H212"/>
    <mergeCell ref="D269:AA269"/>
    <mergeCell ref="E283:H283"/>
    <mergeCell ref="U236:X236"/>
    <mergeCell ref="Q309:AA309"/>
    <mergeCell ref="D342:AA342"/>
    <mergeCell ref="Y350:AA350"/>
    <mergeCell ref="E64:AA64"/>
    <mergeCell ref="M211:P211"/>
    <mergeCell ref="E214:H214"/>
    <mergeCell ref="E341:H341"/>
    <mergeCell ref="E285:H285"/>
    <mergeCell ref="E51:AA51"/>
    <mergeCell ref="S363:U363"/>
    <mergeCell ref="E82:AA82"/>
    <mergeCell ref="Y214:AA214"/>
    <mergeCell ref="Q267:T267"/>
    <mergeCell ref="E180:AA180"/>
    <mergeCell ref="H367:J367"/>
    <mergeCell ref="Q242:T242"/>
    <mergeCell ref="M157:P157"/>
    <mergeCell ref="M390:AA390"/>
    <mergeCell ref="Q198:T198"/>
    <mergeCell ref="I334:L334"/>
    <mergeCell ref="M236:P236"/>
    <mergeCell ref="S365:U365"/>
    <mergeCell ref="E182:AA182"/>
    <mergeCell ref="E65:AA65"/>
    <mergeCell ref="E293:H293"/>
    <mergeCell ref="Q244:T244"/>
    <mergeCell ref="H347:J347"/>
    <mergeCell ref="E351:G351"/>
    <mergeCell ref="U300:X300"/>
    <mergeCell ref="I336:L336"/>
    <mergeCell ref="M300:P300"/>
    <mergeCell ref="H362:J362"/>
    <mergeCell ref="E353:G353"/>
    <mergeCell ref="L405:N405"/>
    <mergeCell ref="E167:H167"/>
    <mergeCell ref="D420:AA420"/>
    <mergeCell ref="J377:K377"/>
    <mergeCell ref="H404:K404"/>
    <mergeCell ref="E232:H232"/>
    <mergeCell ref="D128:AA128"/>
    <mergeCell ref="E417:G417"/>
    <mergeCell ref="U130:X130"/>
    <mergeCell ref="U239:X239"/>
    <mergeCell ref="E133:H133"/>
    <mergeCell ref="M133:P133"/>
    <mergeCell ref="Q306:AA306"/>
    <mergeCell ref="L407:N407"/>
    <mergeCell ref="E169:H169"/>
  </mergeCells>
  <conditionalFormatting sqref="D107:E108">
    <cfRule type="expression" priority="11" dxfId="30">
      <formula>LEN(#REF!)&lt;2</formula>
    </cfRule>
  </conditionalFormatting>
  <conditionalFormatting sqref="D162:H162 D167:H167">
    <cfRule type="expression" priority="31" dxfId="4">
      <formula>LEN($D$162)&lt;2</formula>
    </cfRule>
  </conditionalFormatting>
  <conditionalFormatting sqref="D168:H168">
    <cfRule type="expression" priority="10" dxfId="6">
      <formula>LEN($D$168)&lt;2</formula>
    </cfRule>
  </conditionalFormatting>
  <conditionalFormatting sqref="D170:H170">
    <cfRule type="expression" priority="14" dxfId="4">
      <formula>LEN($D$170)&lt;2</formula>
    </cfRule>
  </conditionalFormatting>
  <conditionalFormatting sqref="D255:H256">
    <cfRule type="expression" priority="19" dxfId="18">
      <formula>$E$254=0</formula>
    </cfRule>
  </conditionalFormatting>
  <conditionalFormatting sqref="D290:H290">
    <cfRule type="expression" priority="16" dxfId="4">
      <formula>LEN($D$290)&lt;2</formula>
    </cfRule>
  </conditionalFormatting>
  <conditionalFormatting sqref="D292:H293">
    <cfRule type="expression" priority="17" dxfId="4">
      <formula>LEN($D$292)&lt;2</formula>
    </cfRule>
  </conditionalFormatting>
  <conditionalFormatting sqref="D50:AA51">
    <cfRule type="expression" priority="46" dxfId="15">
      <formula>OR($E$49="No",LEN($E$49)&lt;1)</formula>
    </cfRule>
  </conditionalFormatting>
  <conditionalFormatting sqref="D79:AA87">
    <cfRule type="expression" priority="12" dxfId="17">
      <formula>$D$78="NA"</formula>
    </cfRule>
  </conditionalFormatting>
  <conditionalFormatting sqref="D90:AA99">
    <cfRule type="expression" priority="13" dxfId="17">
      <formula>$D$89="NA"</formula>
    </cfRule>
  </conditionalFormatting>
  <conditionalFormatting sqref="D122:AA126">
    <cfRule type="expression" priority="36" dxfId="14">
      <formula>$D$121="NA"</formula>
    </cfRule>
  </conditionalFormatting>
  <conditionalFormatting sqref="D137:AA140">
    <cfRule type="expression" priority="1" dxfId="6">
      <formula>$D$136="NA"</formula>
    </cfRule>
  </conditionalFormatting>
  <conditionalFormatting sqref="D258:AA259 D260:I260 D261:H261">
    <cfRule type="expression" priority="18" dxfId="18">
      <formula>$E$257=0</formula>
    </cfRule>
  </conditionalFormatting>
  <conditionalFormatting sqref="D343:AA386">
    <cfRule type="expression" priority="2" dxfId="17">
      <formula>LEN($D$342)&gt;2</formula>
    </cfRule>
  </conditionalFormatting>
  <conditionalFormatting sqref="D102:AB102 D109:AB116 D117:H119">
    <cfRule type="expression" priority="37" dxfId="16">
      <formula>LEN($D$102)&lt;3</formula>
    </cfRule>
  </conditionalFormatting>
  <conditionalFormatting sqref="D102:AB102">
    <cfRule type="expression" priority="38" dxfId="15">
      <formula>"OR($D$39=""Persona Física"",LEN($D$39)&lt;1)"</formula>
    </cfRule>
  </conditionalFormatting>
  <conditionalFormatting sqref="D129:AB134">
    <cfRule type="expression" priority="35" dxfId="14">
      <formula>$D$128="NA"</formula>
    </cfRule>
  </conditionalFormatting>
  <conditionalFormatting sqref="D143:AB146">
    <cfRule type="expression" priority="34" dxfId="12">
      <formula>$D$142="NA"</formula>
    </cfRule>
  </conditionalFormatting>
  <conditionalFormatting sqref="D149:AB151">
    <cfRule type="expression" priority="32" dxfId="12">
      <formula>$D$148="NA"</formula>
    </cfRule>
  </conditionalFormatting>
  <conditionalFormatting sqref="D164:AB164 D165:H165">
    <cfRule type="expression" priority="28" dxfId="6">
      <formula>OR($E$163="No",LEN($E$163)&lt;1)</formula>
    </cfRule>
  </conditionalFormatting>
  <conditionalFormatting sqref="D173:AB184">
    <cfRule type="expression" priority="25" dxfId="6">
      <formula>$D$172="NA"</formula>
    </cfRule>
  </conditionalFormatting>
  <conditionalFormatting sqref="D187:AB202">
    <cfRule type="expression" priority="24" dxfId="6">
      <formula>$D$186="NA"</formula>
    </cfRule>
  </conditionalFormatting>
  <conditionalFormatting sqref="D205:AB219">
    <cfRule type="expression" priority="23" dxfId="6">
      <formula>$D$204="NA"</formula>
    </cfRule>
  </conditionalFormatting>
  <conditionalFormatting sqref="D222:AB227">
    <cfRule type="expression" priority="22" dxfId="6">
      <formula>$D$221="NA"</formula>
    </cfRule>
  </conditionalFormatting>
  <conditionalFormatting sqref="D233:AB244">
    <cfRule type="expression" priority="21" dxfId="6">
      <formula>$D$234="NA"</formula>
    </cfRule>
  </conditionalFormatting>
  <conditionalFormatting sqref="D249:AB249">
    <cfRule type="expression" priority="20" dxfId="4">
      <formula>LEN($D$249)&lt;2</formula>
    </cfRule>
  </conditionalFormatting>
  <conditionalFormatting sqref="D317:AB317">
    <cfRule type="expression" priority="15" dxfId="4">
      <formula>LEN($D$317)&lt;2</formula>
    </cfRule>
  </conditionalFormatting>
  <conditionalFormatting sqref="E418 K418:L418">
    <cfRule type="containsText" priority="3" operator="containsText" dxfId="3" stopIfTrue="1" text="Validado">
      <formula>NOT(ISERROR(SEARCH(("Validado"),(E418))))</formula>
    </cfRule>
  </conditionalFormatting>
  <conditionalFormatting sqref="E418">
    <cfRule type="cellIs" priority="4" operator="equal" dxfId="0" stopIfTrue="1">
      <formula>"No es igual"</formula>
    </cfRule>
  </conditionalFormatting>
  <conditionalFormatting sqref="E369:M369">
    <cfRule type="expression" priority="8" dxfId="1">
      <formula>$E$369="ERROR"</formula>
    </cfRule>
  </conditionalFormatting>
  <conditionalFormatting sqref="L418">
    <cfRule type="cellIs" priority="5" operator="equal" dxfId="0" stopIfTrue="1">
      <formula>"No es igual"</formula>
    </cfRule>
  </conditionalFormatting>
  <dataValidations count="38">
    <dataValidation sqref="E48:H48" showDropDown="0" showInputMessage="1" showErrorMessage="1" allowBlank="1" type="list">
      <formula1>"Persona Física,Persona Jurídica"</formula1>
    </dataValidation>
    <dataValidation sqref="E49:H49 E63:H63 E75:H75 E118:H119 E163:H163 E166:E169 E232:H232 E242:X242 E248:H248 E289:H289 E291:H291 F166:H167" showDropDown="0" showInputMessage="1" showErrorMessage="1" allowBlank="1" type="list">
      <formula1>"Sí,No"</formula1>
    </dataValidation>
    <dataValidation sqref="E73:H73" showDropDown="0" showInputMessage="1" showErrorMessage="1" allowBlank="1" type="list">
      <formula1>"Oficina,Planta,Oficina de Ventas,Depósito"</formula1>
    </dataValidation>
    <dataValidation sqref="E74:H74" showDropDown="0" showInputMessage="1" showErrorMessage="1" allowBlank="1" type="list">
      <formula1>"Es propia,Se alquila,Es prestada"</formula1>
    </dataValidation>
    <dataValidation sqref="E76:H77" showDropDown="0" showInputMessage="1" showErrorMessage="1" allowBlank="1" type="whole" operator="greaterThan">
      <formula1>1500</formula1>
    </dataValidation>
    <dataValidation sqref="E104:AA105 E107:E108 AB104:AB108" showDropDown="0" showInputMessage="1" showErrorMessage="1" allowBlank="0" type="date" operator="greaterThanOrEqual">
      <formula1>1</formula1>
    </dataValidation>
    <dataValidation sqref="E131:X131 E135 I135 M135 Q135 U135" showDropDown="0" showInputMessage="1" showErrorMessage="1" allowBlank="1" type="whole" operator="greaterThanOrEqual">
      <formula1>1</formula1>
    </dataValidation>
    <dataValidation sqref="E255:H255 E260:H260" showDropDown="0" showInputMessage="1" showErrorMessage="1" allowBlank="1" type="list">
      <formula1>"Crédito,Contado,Crédito y contado,Otro"</formula1>
    </dataValidation>
    <dataValidation sqref="E184:H184 E202:AA202 E219:AB219 AB202:AB203" showDropDown="0" showInputMessage="1" showErrorMessage="1" allowBlank="1" type="list">
      <formula1>"Servicios Administrativos,Comparte Instalaciones,Ventas Intercompañías"</formula1>
    </dataValidation>
    <dataValidation sqref="E231:H231" showDropDown="0" showInputMessage="1" showErrorMessage="1" allowBlank="1" type="list">
      <formula1>"Mayorista,Fabricación/Elaboración,Detallista,Comisionista,Maquila,Servicios"</formula1>
    </dataValidation>
    <dataValidation sqref="E226:AA226" showDropDown="0" showInputMessage="1" showErrorMessage="1" allowBlank="1" type="list">
      <formula1>"Almacén,Depósito,Escuela,Fábrica,Garaje,Granja,Huerta,Laboratorio,Oficina,Oficina de representación,Oficina de ventas,Planta,Rancho,Sala de exhibición,Sede social,Taller,Tienda"</formula1>
    </dataValidation>
    <dataValidation sqref="E318:H318" showDropDown="0" showInputMessage="1" showErrorMessage="1" allowBlank="1" type="list">
      <formula1>"La temporada alta es de,La temporada alta es durante,La temporada baja es durante,La temporada es variable según la región,Las ventas se mantienen a lo largo de todo el año"</formula1>
    </dataValidation>
    <dataValidation sqref="E319:H319" showDropDown="0" showInputMessage="1" showErrorMessage="1" allowBlank="1" type="list">
      <formula1>"Carnaval,días feriados,el invierno,el otoño,el verano,la época de turismo,la primavera,las vacaciones escolares,Navidad,época de declaración de rentas,Semana Santa,otro"</formula1>
    </dataValidation>
    <dataValidation sqref="E340:H340" showDropDown="0" showInputMessage="1" showErrorMessage="1" allowBlank="1" type="list">
      <formula1>"Consolidado,Provisorio,Fiscal,Dictaminado,Auditado"</formula1>
    </dataValidation>
    <dataValidation sqref="E341:H341" showDropDown="0" showInputMessage="1" showErrorMessage="1" allowBlank="1" type="list">
      <formula1>"Pesos,Miles de pesos,Millones de pesos"</formula1>
    </dataValidation>
    <dataValidation sqref="E273:X273" showDropDown="0" showInputMessage="1" showErrorMessage="1" allowBlank="1" type="list">
      <formula1>"Propio,Arrendado"</formula1>
    </dataValidation>
    <dataValidation sqref="E132:X133" showDropDown="0" showInputMessage="1" showErrorMessage="1" allowBlank="1" operator="greaterThanOrEqual"/>
    <dataValidation sqref="E227:AA227 R304:AB304" showDropDown="0" showInputMessage="1" showErrorMessage="1" allowBlank="1" type="whole" operator="greaterThan">
      <formula1>0</formula1>
    </dataValidation>
    <dataValidation sqref="D123:D125" showDropDown="0" showInputMessage="1" showErrorMessage="1" allowBlank="1" type="list">
      <formula1>"FUSION,ESCISION"</formula1>
    </dataValidation>
    <dataValidation sqref="E134:X134" showDropDown="0" showInputMessage="1" showErrorMessage="1" allowBlank="1" type="date" operator="greaterThanOrEqual">
      <formula1>32874</formula1>
    </dataValidation>
    <dataValidation sqref="E137:AA140 E145:X146" showDropDown="0" showInputMessage="1" showErrorMessage="1" allowBlank="1" type="decimal" operator="greaterThan">
      <formula1>-1</formula1>
    </dataValidation>
    <dataValidation sqref="E236:X236" showDropDown="0" showInputMessage="1" showErrorMessage="1" allowBlank="1" type="list">
      <formula1>"Activa,Inactiva,Concluida"</formula1>
    </dataValidation>
    <dataValidation sqref="E237:X237 Y123:AA123" showDropDown="0" showInputMessage="1" showErrorMessage="1" allowBlank="1" type="date" operator="greaterThan">
      <formula1>1</formula1>
    </dataValidation>
    <dataValidation sqref="E243:X243" showDropDown="0" showInputMessage="1" showErrorMessage="1" allowBlank="1" type="list">
      <formula1>"Cumplimiento, Materiales, Pago, Pago y cumpliemiento, Responsabilidad civil"</formula1>
    </dataValidation>
    <dataValidation sqref="E239:X239" showDropDown="0" showInputMessage="1" showErrorMessage="1" allowBlank="1" type="list">
      <formula1>"Compañía Privada, Ente Estatal, Gobierno Regional"</formula1>
    </dataValidation>
    <dataValidation sqref="E282:E287 F282:H286" showDropDown="0" showInputMessage="1" showErrorMessage="1" allowBlank="1" type="whole" operator="greaterThan">
      <formula1>-1</formula1>
    </dataValidation>
    <dataValidation sqref="E345:M353 E394:G403 E405:G407 E409:G411 E413:G416 F424:G425 F427:G428 L394:N403 L405:N406 L408:N408 L410:N414 S345:AA353" showDropDown="0" showInputMessage="1" showErrorMessage="1" allowBlank="1" type="decimal" operator="greaterThan">
      <formula1>-10000000000000</formula1>
    </dataValidation>
    <dataValidation sqref="E356:M358 E360:M362 S356:AA357 S361:AA365" showDropDown="0" showInputMessage="1" showErrorMessage="1" allowBlank="1" type="decimal" operator="greaterThan">
      <formula1>-100000000000</formula1>
    </dataValidation>
    <dataValidation sqref="E364:M367 F374:K375 F377:K378 F380:K382 F384:K384" showDropDown="0" showInputMessage="1" showErrorMessage="1" allowBlank="1" type="whole" operator="greaterThan">
      <formula1>-100000000000</formula1>
    </dataValidation>
    <dataValidation sqref="G390" showDropDown="0" showInputMessage="1" showErrorMessage="1" allowBlank="1" type="list">
      <formula1>"Enero, Febrero, Marzo, Abril, Mayo, Junio, Julio, Agosto, Septiembre, Octubre, Noviembre"</formula1>
    </dataValidation>
    <dataValidation sqref="E390" showDropDown="0" showInputMessage="1" showErrorMessage="1" allowBlank="1" type="list">
      <formula1>"28, 30, 31"</formula1>
    </dataValidation>
    <dataValidation sqref="E391" showDropDown="0" showInputMessage="0" showErrorMessage="1" allowBlank="1" type="list">
      <formula1>"Pesos,Miles de Pesos,Millones de Pesos"</formula1>
    </dataValidation>
    <dataValidation sqref="F430:G432 F434:G434" showDropDown="0" showInputMessage="1" showErrorMessage="1" allowBlank="1" type="decimal" operator="greaterThan">
      <formula1>-10000000000</formula1>
    </dataValidation>
    <dataValidation sqref="Y124:AA125" showDropDown="0" showInputMessage="1" showErrorMessage="1" allowBlank="1" type="date" operator="lessThan">
      <formula1>1</formula1>
    </dataValidation>
    <dataValidation sqref="E189:AA189" showDropDown="0" showInputMessage="1" showErrorMessage="1" allowBlank="1" type="decimal" operator="lessThanOrEqual">
      <formula1>1</formula1>
    </dataValidation>
    <dataValidation sqref="E200:AA200" showDropDown="0" showInputMessage="1" showErrorMessage="1" allowBlank="1" type="whole" operator="greaterThan">
      <formula1>1000</formula1>
    </dataValidation>
    <dataValidation sqref="E217:AA217" showDropDown="0" showInputMessage="1" showErrorMessage="1" allowBlank="1" type="whole" operator="greaterThan">
      <formula1>12</formula1>
    </dataValidation>
    <dataValidation sqref="E106:AA106" showDropDown="0" showInputMessage="1" showErrorMessage="1" allowBlank="0" operator="greaterThanOrEqual"/>
  </dataValidations>
  <hyperlinks>
    <hyperlink xmlns:r="http://schemas.openxmlformats.org/officeDocument/2006/relationships" ref="D6" r:id="rId1"/>
    <hyperlink xmlns:r="http://schemas.openxmlformats.org/officeDocument/2006/relationships" ref="E6" display="Número D-U-N-S" r:id="rId2"/>
    <hyperlink xmlns:r="http://schemas.openxmlformats.org/officeDocument/2006/relationships" ref="H6" display="https://www.cialdnb.com/es/politica-de-privacidad/" r:id="rId3"/>
  </hyperlinks>
  <pageMargins left="0.7" right="0.7" top="0.75" bottom="0.75" header="0.3" footer="0.3"/>
  <pageSetup orientation="portrait" paperSize="9"/>
  <drawing xmlns:r="http://schemas.openxmlformats.org/officeDocument/2006/relationships" r:id="rId4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4" sqref="A14"/>
    </sheetView>
  </sheetViews>
  <sheetFormatPr baseColWidth="10" defaultColWidth="8.6640625" defaultRowHeight="14.4"/>
  <cols>
    <col width="78.109375" bestFit="1" customWidth="1" min="1" max="1"/>
  </cols>
  <sheetData>
    <row r="1">
      <c r="A1" t="inlineStr">
        <is>
          <t>Régimen de las actividades agrícolas/ganaderas/silvícolas/pesqueras (Sector primario)</t>
        </is>
      </c>
    </row>
    <row r="2">
      <c r="A2" t="inlineStr">
        <is>
          <t>Régimen de los coordinados</t>
        </is>
      </c>
    </row>
    <row r="3">
      <c r="A3" t="inlineStr">
        <is>
          <t>Régimen general de ley</t>
        </is>
      </c>
    </row>
    <row r="4">
      <c r="A4" t="inlineStr">
        <is>
          <t>Régimen opcional para grupo de sociedades</t>
        </is>
      </c>
    </row>
    <row r="5">
      <c r="A5" t="inlineStr">
        <is>
          <t>Actividad empresarial</t>
        </is>
      </c>
    </row>
    <row r="6">
      <c r="A6" t="inlineStr">
        <is>
          <t>Actividad empresarial y profesional</t>
        </is>
      </c>
    </row>
    <row r="7">
      <c r="A7" t="inlineStr">
        <is>
          <t>Honorarios</t>
        </is>
      </c>
    </row>
    <row r="8">
      <c r="A8" t="inlineStr">
        <is>
          <t>Incorporación fiscal</t>
        </is>
      </c>
    </row>
    <row r="9">
      <c r="A9" t="inlineStr">
        <is>
          <t>Pequeño contribuyente</t>
        </is>
      </c>
    </row>
    <row r="10">
      <c r="A10" t="inlineStr">
        <is>
          <t xml:space="preserve"> Régimen simplificado de confianza</t>
        </is>
      </c>
    </row>
    <row r="11">
      <c r="A11" t="inlineStr">
        <is>
          <t>Régimen intermedio</t>
        </is>
      </c>
    </row>
    <row r="12">
      <c r="A12" t="inlineStr">
        <is>
          <t>Sueldos y salarios</t>
        </is>
      </c>
    </row>
    <row r="19">
      <c r="A19" s="177" t="inlineStr">
        <is>
          <t>Coberturas</t>
        </is>
      </c>
    </row>
    <row r="20">
      <c r="A20" t="inlineStr">
        <is>
          <t>activos fijos</t>
        </is>
      </c>
    </row>
    <row r="21">
      <c r="A21" t="inlineStr">
        <is>
          <t>camiones</t>
        </is>
      </c>
    </row>
    <row r="22">
      <c r="A22" t="inlineStr">
        <is>
          <t>camionetas</t>
        </is>
      </c>
    </row>
    <row r="23">
      <c r="A23" t="inlineStr">
        <is>
          <t>contenido</t>
        </is>
      </c>
    </row>
    <row r="24">
      <c r="A24" t="inlineStr">
        <is>
          <t>daños maliciosos</t>
        </is>
      </c>
    </row>
    <row r="25">
      <c r="A25" t="inlineStr">
        <is>
          <t>desastres naturales</t>
        </is>
      </c>
    </row>
    <row r="26">
      <c r="A26" t="inlineStr">
        <is>
          <t>edificio</t>
        </is>
      </c>
    </row>
    <row r="27">
      <c r="A27" t="inlineStr">
        <is>
          <t>equipo</t>
        </is>
      </c>
    </row>
    <row r="28">
      <c r="A28" t="inlineStr">
        <is>
          <t>equipo de transporte</t>
        </is>
      </c>
    </row>
    <row r="29">
      <c r="A29" t="inlineStr">
        <is>
          <t>equipos arrendados</t>
        </is>
      </c>
    </row>
    <row r="30">
      <c r="A30" t="inlineStr">
        <is>
          <t>explosiones</t>
        </is>
      </c>
    </row>
    <row r="31">
      <c r="A31" t="inlineStr">
        <is>
          <t>fianzas</t>
        </is>
      </c>
    </row>
    <row r="32">
      <c r="A32" t="inlineStr">
        <is>
          <t>fondos en tránsito</t>
        </is>
      </c>
    </row>
    <row r="33">
      <c r="A33" t="inlineStr">
        <is>
          <t>HCM</t>
        </is>
      </c>
    </row>
    <row r="34">
      <c r="A34" t="inlineStr">
        <is>
          <t>huracanes</t>
        </is>
      </c>
    </row>
    <row r="35">
      <c r="A35" t="inlineStr">
        <is>
          <t>Incendio</t>
        </is>
      </c>
    </row>
    <row r="36">
      <c r="A36" t="inlineStr">
        <is>
          <t>Responsabilidad civil</t>
        </is>
      </c>
    </row>
    <row r="37">
      <c r="A37" t="inlineStr">
        <is>
          <t>riesgos de crédito</t>
        </is>
      </c>
    </row>
    <row r="38">
      <c r="A38" t="inlineStr">
        <is>
          <t>riesgos diversos</t>
        </is>
      </c>
    </row>
    <row r="39">
      <c r="A39" t="inlineStr">
        <is>
          <t>robo</t>
        </is>
      </c>
    </row>
    <row r="40">
      <c r="A40" t="inlineStr">
        <is>
          <t>robo con violencia</t>
        </is>
      </c>
    </row>
    <row r="41">
      <c r="A41" t="inlineStr">
        <is>
          <t>rodados</t>
        </is>
      </c>
    </row>
    <row r="42">
      <c r="A42" t="inlineStr">
        <is>
          <t>saqueo</t>
        </is>
      </c>
    </row>
    <row r="43">
      <c r="A43" t="inlineStr">
        <is>
          <t>seguro de vida</t>
        </is>
      </c>
    </row>
    <row r="44">
      <c r="A44" t="inlineStr">
        <is>
          <t>terremotos</t>
        </is>
      </c>
    </row>
    <row r="45">
      <c r="A45" t="inlineStr">
        <is>
          <t>todo riesgo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Christian Perez</dc:creator>
  <dcterms:created xmlns:dcterms="http://purl.org/dc/terms/" xmlns:xsi="http://www.w3.org/2001/XMLSchema-instance" xsi:type="dcterms:W3CDTF">2022-02-13T22:46:47Z</dcterms:created>
  <dcterms:modified xmlns:dcterms="http://purl.org/dc/terms/" xmlns:xsi="http://www.w3.org/2001/XMLSchema-instance" xsi:type="dcterms:W3CDTF">2026-08-21T14:00:03Z</dcterms:modified>
  <cp:lastModifiedBy>Natalia Covello</cp:lastModifiedBy>
</cp:coreProperties>
</file>