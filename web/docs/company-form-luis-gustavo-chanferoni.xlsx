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ml.chartshapes+xml"/>
  <Override PartName="/xl/drawings/drawing6.xml" ContentType="application/vnd.openxmlformats-officedocument.drawingml.chartshapes+xml"/>
  <Override PartName="/xl/drawings/drawing7.xml" ContentType="application/vnd.openxmlformats-officedocument.drawingml.chartshapes+xml"/>
  <Override PartName="/xl/drawings/drawing8.xml" ContentType="application/vnd.openxmlformats-officedocument.drawingml.chartshap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olicitud" sheetId="1" state="visible" r:id="rId3"/>
    <sheet name="BIR FORM" sheetId="2" state="visible" r:id="rId4"/>
    <sheet name="Sheet1" sheetId="3" state="hidden" r:id="rId5"/>
  </sheets>
  <definedNames>
    <definedName function="false" hidden="false" name="Cinco" vbProcedure="false">#REF!</definedName>
    <definedName function="false" hidden="false" name="Cuatro" vbProcedure="false">#REF!</definedName>
    <definedName function="false" hidden="false" name="Diez" vbProcedure="false">#REF!</definedName>
    <definedName function="false" hidden="false" name="Doce" vbProcedure="false">#REF!</definedName>
    <definedName function="false" hidden="false" name="Dos" vbProcedure="false">#REF!</definedName>
    <definedName function="false" hidden="false" name="lista" vbProcedure="false">#REF!</definedName>
    <definedName function="false" hidden="false" name="Nueve" vbProcedure="false">#REF!</definedName>
    <definedName function="false" hidden="false" name="Ocho" vbProcedure="false">#REF!</definedName>
    <definedName function="false" hidden="false" name="Once" vbProcedure="false">#REF!</definedName>
    <definedName function="false" hidden="false" name="Porcentaje" vbProcedure="false">#REF!</definedName>
    <definedName function="false" hidden="false" name="Representante" vbProcedure="false">#REF!</definedName>
    <definedName function="false" hidden="false" name="Seis" vbProcedure="false">#REF!</definedName>
    <definedName function="false" hidden="false" name="Siete" vbProcedure="false">#REF!</definedName>
    <definedName function="false" hidden="false" name="TrataDos" vbProcedure="false">#REF!</definedName>
    <definedName function="false" hidden="false" name="Tratamiento" vbProcedure="false">#REF!</definedName>
    <definedName function="false" hidden="false" name="Tres" vbProcedure="false">#REF!</definedName>
    <definedName function="false" hidden="false" name="Un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<sst xmlns="http://schemas.openxmlformats.org/spreadsheetml/2006/main" count="596" uniqueCount="425">
  <si>
    <t xml:space="preserve">Ciudad Autónoma de Buenos Aires</t>
  </si>
  <si>
    <t xml:space="preserve">De nuestra mayor consideración: </t>
  </si>
  <si>
    <t xml:space="preserve">Por medio de la presente solicitamos tengan a bien facilitarnos la información que detallamos a continuación.</t>
  </si>
  <si>
    <t xml:space="preserve">De acuerdo con su estructura legal, algunos elementos pueden no ser necesarios.</t>
  </si>
  <si>
    <t xml:space="preserve">Número de Identificación Tributaria (CUIT, RUC, RUT)</t>
  </si>
  <si>
    <t xml:space="preserve">Razón social, dirección real, comercial y fiscal. Teléfonos, página web, mails</t>
  </si>
  <si>
    <t xml:space="preserve">Nombre de fantasía del negocio</t>
  </si>
  <si>
    <t xml:space="preserve">Fecha de Constitución, Inscripción de la Sociedad, Capital Social, Cierre de balance, uso de firma</t>
  </si>
  <si>
    <t xml:space="preserve">Detalle de actividades que desarrolla la empresa y fecha de inicio de las mismas</t>
  </si>
  <si>
    <t xml:space="preserve">Nómina de Autoridades: Directorio y Sindicatura, Socios, Comisión Directiva, Consejo de Administración o Representantes Legales (DNI, cargos y fecha de designación)</t>
  </si>
  <si>
    <t xml:space="preserve">Nómina de Accionistas o Socios (Participación CUIT/CUIL - Sede Legal)</t>
  </si>
  <si>
    <t xml:space="preserve">Gerentes Principales (Indicar cargos)</t>
  </si>
  <si>
    <t xml:space="preserve">Cantidad de Personal ocupado</t>
  </si>
  <si>
    <t xml:space="preserve">Principales Proveedores (con teléfono)</t>
  </si>
  <si>
    <t xml:space="preserve">Cantidad de Clientes (citar principales)</t>
  </si>
  <si>
    <t xml:space="preserve">Referencias Bancarias (Indicar Banco)</t>
  </si>
  <si>
    <t xml:space="preserve">Importaciones y/o Exportaciones (Indicar países y productos)</t>
  </si>
  <si>
    <t xml:space="preserve">Principales marcas registradas - Representaciones (Razón Social y País)</t>
  </si>
  <si>
    <t xml:space="preserve">Compañías de seguros contratadas (indicar riesgo)</t>
  </si>
  <si>
    <t xml:space="preserve">Sedes Operativas (Indicar ubicación, destino, si son propiedad de la firma o alquiladas)</t>
  </si>
  <si>
    <t xml:space="preserve">Rodados/Equipos a nombre de la Sociedad (marca y modelo)</t>
  </si>
  <si>
    <r>
      <rPr>
        <u val="single"/>
        <sz val="11"/>
        <color theme="1"/>
        <rFont val="Calibri"/>
        <family val="2"/>
        <charset val="1"/>
      </rPr>
      <t xml:space="preserve">Finanzas</t>
    </r>
    <r>
      <rPr>
        <sz val="11"/>
        <color theme="1"/>
        <rFont val="Calibri"/>
        <family val="2"/>
        <charset val="1"/>
      </rPr>
      <t xml:space="preserve">:  Según corresponda enviar:  Ultimos 3 (tres) Balances Generales / Presupuesto / Manifestación de Bienes / Declaración de ganancias.  (Solicitamos enviar la copia por mail para permitirnos validar su autenticidad)</t>
    </r>
  </si>
  <si>
    <t xml:space="preserve">Ventas mensuales posteriores al Balance</t>
  </si>
  <si>
    <t xml:space="preserve">Normas ISO (Adjuntar certificados)</t>
  </si>
  <si>
    <t xml:space="preserve">Empresas vinculadas y/o controladas (razón social, CUIT, RUC o RUT, sede legal, y participación)</t>
  </si>
  <si>
    <t xml:space="preserve">Sólo para UTEs: Participación de cada Sociedad en la UTE</t>
  </si>
  <si>
    <t xml:space="preserve">Cualquier otra información que crean conveniente mencionar (Ej: Obras, proyectos, inversiones, etc.)</t>
  </si>
  <si>
    <t xml:space="preserve">Para su mayor comodidad, puede completar la información solicitada en la siguiente hoja llamada BIR FORM.
</t>
  </si>
  <si>
    <t xml:space="preserve">Agradecemos desde ya la atención que le sepa brindar a la presente, haciendo propicia la ocasión para saludarlos muy atentamente.</t>
  </si>
  <si>
    <t xml:space="preserve">Registro D-U-N-S: Formulario para información comercial.</t>
  </si>
  <si>
    <t xml:space="preserve">      Confianza y transparencia para negocios nacionales e internacionales</t>
  </si>
  <si>
    <t xml:space="preserve">Quiénes somos</t>
  </si>
  <si>
    <t xml:space="preserve">Número D-U-N-S</t>
  </si>
  <si>
    <t xml:space="preserve">Política de privacidad</t>
  </si>
  <si>
    <t xml:space="preserve">INDICACIONES PARA EL LLENADO DEL FORMULARIO</t>
  </si>
  <si>
    <r>
      <rPr>
        <sz val="12"/>
        <color theme="2" tint="-0.5"/>
        <rFont val="Open Sans"/>
        <family val="2"/>
        <charset val="1"/>
      </rPr>
      <t xml:space="preserve">Le sugerimos llenar el formulario de manera consecutiva. Ciertas preguntas se despliegan o se ocultan según las respuestas proporcionadas para asegurar que solo se agregue la información aplicable para su empresa (marcadas con un </t>
    </r>
    <r>
      <rPr>
        <sz val="12"/>
        <color rgb="FFFF0000"/>
        <rFont val="Open Sans"/>
        <family val="2"/>
        <charset val="1"/>
      </rPr>
      <t xml:space="preserve">* </t>
    </r>
    <r>
      <rPr>
        <sz val="12"/>
        <color theme="2" tint="-0.5"/>
        <rFont val="Open Sans"/>
        <family val="2"/>
        <charset val="1"/>
      </rPr>
      <t xml:space="preserve">). En algunos apartados, encontrará secciones con el título "</t>
    </r>
    <r>
      <rPr>
        <b val="true"/>
        <sz val="12"/>
        <color theme="2" tint="-0.5"/>
        <rFont val="Open Sans"/>
        <family val="2"/>
        <charset val="1"/>
      </rPr>
      <t xml:space="preserve">NA</t>
    </r>
    <r>
      <rPr>
        <sz val="12"/>
        <color theme="2" tint="-0.5"/>
        <rFont val="Open Sans"/>
        <family val="2"/>
        <charset val="1"/>
      </rPr>
      <t xml:space="preserve">", no es necesario agregar información a la sección; puede hacer caso omiso y continuar con el llenado del formulario. Por otro lado, si alguna pregunta no aplica para su empresa, registre "</t>
    </r>
    <r>
      <rPr>
        <b val="true"/>
        <sz val="12"/>
        <color theme="2" tint="-0.5"/>
        <rFont val="Open Sans"/>
        <family val="2"/>
        <charset val="1"/>
      </rPr>
      <t xml:space="preserve">NA</t>
    </r>
    <r>
      <rPr>
        <sz val="12"/>
        <color theme="2" tint="-0.5"/>
        <rFont val="Open Sans"/>
        <family val="2"/>
        <charset val="1"/>
      </rPr>
      <t xml:space="preserve">", de no hacerlo su progreso no será registrado correctamente.</t>
    </r>
  </si>
  <si>
    <t xml:space="preserve">RESUMEN DEL LLENADO DE INFORMACIÓN</t>
  </si>
  <si>
    <t xml:space="preserve">INFORMACIÓN DE CONTACTO</t>
  </si>
  <si>
    <t xml:space="preserve">DATOS GENERALES </t>
  </si>
  <si>
    <t xml:space="preserve">DATOS DE CONSTITUCIÓN</t>
  </si>
  <si>
    <t xml:space="preserve">CONTROL </t>
  </si>
  <si>
    <t xml:space="preserve">OPERACIONES</t>
  </si>
  <si>
    <t xml:space="preserve">FINANZAS</t>
  </si>
  <si>
    <t xml:space="preserve">Progreso </t>
  </si>
  <si>
    <t xml:space="preserve">Informacion restante </t>
  </si>
  <si>
    <t xml:space="preserve">DATOS DE QUIEN PROPORCIONA LA INFORMACIÓN </t>
  </si>
  <si>
    <t xml:space="preserve">Nombre:</t>
  </si>
  <si>
    <t xml:space="preserve">Luis Gustavo Chanferoni</t>
  </si>
  <si>
    <t xml:space="preserve">Puesto:</t>
  </si>
  <si>
    <t xml:space="preserve">Titular / Desarrollador</t>
  </si>
  <si>
    <t xml:space="preserve">E-mail:</t>
  </si>
  <si>
    <t xml:space="preserve">info@bioenlace.io</t>
  </si>
  <si>
    <t xml:space="preserve">Contacto para evaluación ESG</t>
  </si>
  <si>
    <t xml:space="preserve">Titular</t>
  </si>
  <si>
    <t xml:space="preserve">Teléfono:</t>
  </si>
  <si>
    <t xml:space="preserve">+5493854336246</t>
  </si>
  <si>
    <t xml:space="preserve">DATOS GENERALES DE LA EMPRESA</t>
  </si>
  <si>
    <t xml:space="preserve">Razón social:</t>
  </si>
  <si>
    <t xml:space="preserve">LUIS GUSTAVO CHANFERONI</t>
  </si>
  <si>
    <t xml:space="preserve">Nombre comercial:</t>
  </si>
  <si>
    <t xml:space="preserve">Bioenlace</t>
  </si>
  <si>
    <t xml:space="preserve">Tax ID: (RUT, CUIT o RUC) </t>
  </si>
  <si>
    <t xml:space="preserve">20-29486884-5</t>
  </si>
  <si>
    <t xml:space="preserve">E-mail general:</t>
  </si>
  <si>
    <t xml:space="preserve">Tipo de contribuyente: </t>
  </si>
  <si>
    <t xml:space="preserve">Persona Física</t>
  </si>
  <si>
    <t xml:space="preserve">Afiliado a alguna cámara o asociación?</t>
  </si>
  <si>
    <t xml:space="preserve">No</t>
  </si>
  <si>
    <t xml:space="preserve">No. de registro de afiliación:</t>
  </si>
  <si>
    <r>
      <rPr>
        <sz val="11"/>
        <color theme="1"/>
        <rFont val="Open Sans"/>
        <family val="2"/>
        <charset val="1"/>
      </rPr>
      <t xml:space="preserve">Afiliado a:
</t>
    </r>
    <r>
      <rPr>
        <sz val="8"/>
        <color theme="1"/>
        <rFont val="Open Sans"/>
        <family val="2"/>
        <charset val="1"/>
      </rPr>
      <t xml:space="preserve">(enliste todas) </t>
    </r>
  </si>
  <si>
    <t xml:space="preserve">PRESENCIA ONLINE</t>
  </si>
  <si>
    <t xml:space="preserve">Página Web:</t>
  </si>
  <si>
    <t xml:space="preserve">https://bioenlace.io</t>
  </si>
  <si>
    <t xml:space="preserve">Enlace al Facebook de la empresa:</t>
  </si>
  <si>
    <t xml:space="preserve">NA</t>
  </si>
  <si>
    <t xml:space="preserve">Enlace al LinkedIn de la empresa:</t>
  </si>
  <si>
    <t xml:space="preserve">Enlace al Twitter de la empresa:</t>
  </si>
  <si>
    <t xml:space="preserve">Enlace al Instagram de la empresa:</t>
  </si>
  <si>
    <t xml:space="preserve">Enlace al canal corporativo en YouTube:</t>
  </si>
  <si>
    <t xml:space="preserve">DIRECCIÓN OPERATIVA ACTUAL</t>
  </si>
  <si>
    <t xml:space="preserve">(Ubicación donde se realizan todas las actividades descriptas en su objeto social)</t>
  </si>
  <si>
    <t xml:space="preserve">¿Es dirección fiscal? </t>
  </si>
  <si>
    <t xml:space="preserve">Sí</t>
  </si>
  <si>
    <t xml:space="preserve">Calle:</t>
  </si>
  <si>
    <t xml:space="preserve">Bernardo Houssay</t>
  </si>
  <si>
    <t xml:space="preserve">Número:</t>
  </si>
  <si>
    <t xml:space="preserve">Oficina/Depto;</t>
  </si>
  <si>
    <t xml:space="preserve">Dpto 27 M 59</t>
  </si>
  <si>
    <t xml:space="preserve">Ciudad:</t>
  </si>
  <si>
    <t xml:space="preserve">Santiago del Estero</t>
  </si>
  <si>
    <t xml:space="preserve">Provincia:</t>
  </si>
  <si>
    <t xml:space="preserve">CP:</t>
  </si>
  <si>
    <t xml:space="preserve">CPA:</t>
  </si>
  <si>
    <t xml:space="preserve">Pais: </t>
  </si>
  <si>
    <t xml:space="preserve">Argentina</t>
  </si>
  <si>
    <t xml:space="preserve">Teléfono(s):</t>
  </si>
  <si>
    <t xml:space="preserve">La dirección operativa actual corresponde a</t>
  </si>
  <si>
    <t xml:space="preserve">Oficina</t>
  </si>
  <si>
    <t xml:space="preserve">Esta instalación</t>
  </si>
  <si>
    <t xml:space="preserve">Es propia</t>
  </si>
  <si>
    <t xml:space="preserve">¿Este ha sido el primer domicilio de la empresa? </t>
  </si>
  <si>
    <t xml:space="preserve">Se encuentra en este domicilio desde (año) </t>
  </si>
  <si>
    <t xml:space="preserve">No. Exterior:</t>
  </si>
  <si>
    <t xml:space="preserve">No. Interior:</t>
  </si>
  <si>
    <t xml:space="preserve">Colonia:</t>
  </si>
  <si>
    <t xml:space="preserve">C.P.:</t>
  </si>
  <si>
    <t xml:space="preserve">Del. o Municipio:</t>
  </si>
  <si>
    <t xml:space="preserve">Edo.:</t>
  </si>
  <si>
    <t xml:space="preserve">DATOS DE CONSTITUCIÓN DE LA EMPRESA</t>
  </si>
  <si>
    <t xml:space="preserve">Fundada en: (Ciudad, Provincia)</t>
  </si>
  <si>
    <t xml:space="preserve">Santiago del Estero, Santiago del Estero</t>
  </si>
  <si>
    <t xml:space="preserve">Fecha de constitución ( DD/MM/AAAA)</t>
  </si>
  <si>
    <t xml:space="preserve">Fecha de inscripción ( DD/MM/AAAA)</t>
  </si>
  <si>
    <t xml:space="preserve">Número de escritura, folio y libro:</t>
  </si>
  <si>
    <t xml:space="preserve">Modificaciones de Estatuto:</t>
  </si>
  <si>
    <t xml:space="preserve">Objeto social:</t>
  </si>
  <si>
    <t xml:space="preserve">Desarrollo y comercializacion de software y servicios digitales para el sector de la salud (plataforma Bioenlace: gestion de turnos, historia clinica, teleconsulta y asistente clinico).</t>
  </si>
  <si>
    <t xml:space="preserve">Tipo </t>
  </si>
  <si>
    <t xml:space="preserve">Nombre de la empresa</t>
  </si>
  <si>
    <t xml:space="preserve">No. escritura </t>
  </si>
  <si>
    <t xml:space="preserve">No. NotarÍa </t>
  </si>
  <si>
    <t xml:space="preserve">Nombre notario </t>
  </si>
  <si>
    <t xml:space="preserve">PaÍs </t>
  </si>
  <si>
    <t xml:space="preserve">Estado </t>
  </si>
  <si>
    <t xml:space="preserve">Ciudad </t>
  </si>
  <si>
    <r>
      <rPr>
        <b val="true"/>
        <sz val="12"/>
        <color rgb="FF005172"/>
        <rFont val="Open Sans"/>
        <family val="2"/>
        <charset val="1"/>
      </rPr>
      <t xml:space="preserve">Fecha
</t>
    </r>
    <r>
      <rPr>
        <sz val="8"/>
        <color theme="0" tint="-0.5"/>
        <rFont val="Open Sans"/>
        <family val="2"/>
        <charset val="1"/>
      </rPr>
      <t xml:space="preserve">(DD/MM/AAAA)</t>
    </r>
  </si>
  <si>
    <t xml:space="preserve">Cambio 1</t>
  </si>
  <si>
    <t xml:space="preserve">Cambio 2</t>
  </si>
  <si>
    <t xml:space="preserve">Cambio 3</t>
  </si>
  <si>
    <t xml:space="preserve">Cambio 4</t>
  </si>
  <si>
    <t xml:space="preserve">Cambio 5</t>
  </si>
  <si>
    <t xml:space="preserve">Razón Social:</t>
  </si>
  <si>
    <t xml:space="preserve">Escritura No:</t>
  </si>
  <si>
    <t xml:space="preserve">Notario:</t>
  </si>
  <si>
    <t xml:space="preserve">No. de notaría:</t>
  </si>
  <si>
    <t xml:space="preserve">Fecha (DD/MM/AAAA): </t>
  </si>
  <si>
    <t xml:space="preserve">Inicial:</t>
  </si>
  <si>
    <t xml:space="preserve">Actual:</t>
  </si>
  <si>
    <t xml:space="preserve">No. de acciones:</t>
  </si>
  <si>
    <t xml:space="preserve">Valor por acción:</t>
  </si>
  <si>
    <t xml:space="preserve">Accionista  1</t>
  </si>
  <si>
    <t xml:space="preserve">Accionista  2</t>
  </si>
  <si>
    <t xml:space="preserve">Accionista  3</t>
  </si>
  <si>
    <t xml:space="preserve">Accionista  4</t>
  </si>
  <si>
    <t xml:space="preserve">Accionista  5</t>
  </si>
  <si>
    <t xml:space="preserve">Agregue el resto de accionistas</t>
  </si>
  <si>
    <t xml:space="preserve">% participación:</t>
  </si>
  <si>
    <t xml:space="preserve">Persona  1</t>
  </si>
  <si>
    <t xml:space="preserve">Persona  2</t>
  </si>
  <si>
    <t xml:space="preserve">Persona  3</t>
  </si>
  <si>
    <t xml:space="preserve">Persona  4</t>
  </si>
  <si>
    <t xml:space="preserve">Persona  5</t>
  </si>
  <si>
    <t xml:space="preserve">NOMINA DE AUTORIDADES: CONSEJO DE ADMINISTRACIÓN Y/O DIRECTIVOS</t>
  </si>
  <si>
    <t xml:space="preserve">ADMIN/DIRECTIVO 1</t>
  </si>
  <si>
    <t xml:space="preserve">ADMIN/DIRECTIVO 2</t>
  </si>
  <si>
    <t xml:space="preserve">ADMIN/DIRECTIVO 3</t>
  </si>
  <si>
    <t xml:space="preserve">ADMIN/DIRECTIVO 4</t>
  </si>
  <si>
    <t xml:space="preserve">ADMIN/DIRECTIVO 5</t>
  </si>
  <si>
    <t xml:space="preserve">Agregue el resto de admins</t>
  </si>
  <si>
    <t xml:space="preserve">CONTROL DE LA EMPRESA</t>
  </si>
  <si>
    <t xml:space="preserve">¿Representa a alguna compañía extranjera?</t>
  </si>
  <si>
    <t xml:space="preserve">Nombre del Grupo:</t>
  </si>
  <si>
    <t xml:space="preserve">País de Origen:</t>
  </si>
  <si>
    <t xml:space="preserve">¿Pertenece a un grupo comercial?</t>
  </si>
  <si>
    <t xml:space="preserve">¿Cuenta con sucursales? </t>
  </si>
  <si>
    <t xml:space="preserve">RFC:</t>
  </si>
  <si>
    <t xml:space="preserve">Estado:</t>
  </si>
  <si>
    <t xml:space="preserve">Código Postal:</t>
  </si>
  <si>
    <t xml:space="preserve">Ramo: </t>
  </si>
  <si>
    <t xml:space="preserve">País:</t>
  </si>
  <si>
    <t xml:space="preserve">Relación intercompañías:</t>
  </si>
  <si>
    <t xml:space="preserve">SUBSIDIARIA 1</t>
  </si>
  <si>
    <t xml:space="preserve">SUBSIDIARIA 2</t>
  </si>
  <si>
    <t xml:space="preserve">SUBSIDIARIA 3</t>
  </si>
  <si>
    <t xml:space="preserve">SUBSIDIARIA 4</t>
  </si>
  <si>
    <t xml:space="preserve">SUBSIDIARIA 5</t>
  </si>
  <si>
    <t xml:space="preserve">SUBSIDIARIA 6</t>
  </si>
  <si>
    <t xml:space="preserve">Porcentaje accionario que se posee:</t>
  </si>
  <si>
    <t xml:space="preserve">No. exterior:</t>
  </si>
  <si>
    <t xml:space="preserve">No. interior:</t>
  </si>
  <si>
    <t xml:space="preserve">Del. o municipio:</t>
  </si>
  <si>
    <t xml:space="preserve">Fundada en: (año)</t>
  </si>
  <si>
    <t xml:space="preserve">FILIAL 1</t>
  </si>
  <si>
    <t xml:space="preserve">FILIAL 2</t>
  </si>
  <si>
    <t xml:space="preserve">FILIAL 3</t>
  </si>
  <si>
    <t xml:space="preserve">FILIAL 4</t>
  </si>
  <si>
    <t xml:space="preserve">FILIAL 5</t>
  </si>
  <si>
    <t xml:space="preserve">FILIAL 6</t>
  </si>
  <si>
    <t xml:space="preserve">Sucursal 1</t>
  </si>
  <si>
    <t xml:space="preserve">Sucursal 2</t>
  </si>
  <si>
    <t xml:space="preserve">Sucursal 3</t>
  </si>
  <si>
    <t xml:space="preserve">Sucursal 4</t>
  </si>
  <si>
    <t xml:space="preserve">Sucursal 5</t>
  </si>
  <si>
    <t xml:space="preserve">Sucursal 6</t>
  </si>
  <si>
    <t xml:space="preserve">Domicilio completo:</t>
  </si>
  <si>
    <t xml:space="preserve">Teléfono: </t>
  </si>
  <si>
    <t xml:space="preserve">Administrador responsable:</t>
  </si>
  <si>
    <t xml:space="preserve">Tipo de sucursal:</t>
  </si>
  <si>
    <t xml:space="preserve">Número de empleados:</t>
  </si>
  <si>
    <t xml:space="preserve">Acerca de:  
(Explique detalladamente las actividades que realiza su empresa, siendo lo más específco posible)</t>
  </si>
  <si>
    <t xml:space="preserve">Bioenlace es una plataforma SaaS de salud que permite a profesionales y efectores gestionar turnos, consultas, teleconsulta, historia clinica y pedidos de atencion, con asistente conversacional. El titular desarrolla, opera y comercializa el software y sus aplicaciones moviles (paciente y personal de salud).</t>
  </si>
  <si>
    <t xml:space="preserve">Clasificación:</t>
  </si>
  <si>
    <t xml:space="preserve">Servicios</t>
  </si>
  <si>
    <t xml:space="preserve">¿Es empresa de construcción?</t>
  </si>
  <si>
    <t xml:space="preserve">Obra 1</t>
  </si>
  <si>
    <t xml:space="preserve">Obra 2</t>
  </si>
  <si>
    <t xml:space="preserve">Obra 3</t>
  </si>
  <si>
    <t xml:space="preserve">Obra 4</t>
  </si>
  <si>
    <t xml:space="preserve">Obra 5</t>
  </si>
  <si>
    <t xml:space="preserve">Estatus actual de la obra:</t>
  </si>
  <si>
    <t xml:space="preserve">Fecha de término (estimada): </t>
  </si>
  <si>
    <t xml:space="preserve">Descripción:</t>
  </si>
  <si>
    <t xml:space="preserve">Sector:</t>
  </si>
  <si>
    <t xml:space="preserve">Ciudad / estado:</t>
  </si>
  <si>
    <t xml:space="preserve">Valor de la obra: $</t>
  </si>
  <si>
    <t xml:space="preserve">¿La obra fue afianzada? </t>
  </si>
  <si>
    <t xml:space="preserve">PRODUCTOS / MARCAS </t>
  </si>
  <si>
    <t xml:space="preserve">Nombre de las marcas 
o productos que manejan: </t>
  </si>
  <si>
    <t xml:space="preserve">Bioenlace (plataforma web y apps moviles)</t>
  </si>
  <si>
    <t xml:space="preserve">¿Representa / distribuye a alguna compañía?</t>
  </si>
  <si>
    <t xml:space="preserve">COMPRAS</t>
  </si>
  <si>
    <t xml:space="preserve">Número total de proveedores:
(Nacionales y extranjeros)</t>
  </si>
  <si>
    <t xml:space="preserve"> Distribución de proveedores</t>
  </si>
  <si>
    <t xml:space="preserve">Porcentaje de proveedores nacionales: </t>
  </si>
  <si>
    <t xml:space="preserve">Término de pago a proveedores nacionales: </t>
  </si>
  <si>
    <t xml:space="preserve">Contado</t>
  </si>
  <si>
    <t xml:space="preserve">Máximo días de crédito:</t>
  </si>
  <si>
    <t xml:space="preserve">Porcentaje de proveedores internacionales:</t>
  </si>
  <si>
    <t xml:space="preserve">Indique los países de los que importa: </t>
  </si>
  <si>
    <t xml:space="preserve">Estados Unidos (servicios cloud / infraestructura)</t>
  </si>
  <si>
    <t xml:space="preserve">Término de pago a proveedores internacionales:</t>
  </si>
  <si>
    <t xml:space="preserve">TOP PROVEEDORES NACIONALES ACTUALES</t>
  </si>
  <si>
    <t xml:space="preserve">Proveedor 1</t>
  </si>
  <si>
    <t xml:space="preserve">Proveedor 2</t>
  </si>
  <si>
    <t xml:space="preserve">Proveedor 3</t>
  </si>
  <si>
    <t xml:space="preserve">Proveedor 4</t>
  </si>
  <si>
    <t xml:space="preserve">Proveedor 5</t>
  </si>
  <si>
    <t xml:space="preserve">Razón social completa:</t>
  </si>
  <si>
    <t xml:space="preserve">Google Cloud / Google LLC (servicios cloud e IA)</t>
  </si>
  <si>
    <t xml:space="preserve">Hostinger (hosting web)</t>
  </si>
  <si>
    <t xml:space="preserve">Nombre del contacto:</t>
  </si>
  <si>
    <t xml:space="preserve">Email del contacto:</t>
  </si>
  <si>
    <t xml:space="preserve">Teléfono de contacto:</t>
  </si>
  <si>
    <t xml:space="preserve">VEHICULOS Y EQUIPO</t>
  </si>
  <si>
    <t xml:space="preserve">Vehículo 1</t>
  </si>
  <si>
    <t xml:space="preserve">Vehículo 2</t>
  </si>
  <si>
    <t xml:space="preserve">Vehículo 3</t>
  </si>
  <si>
    <t xml:space="preserve">Vehículo 4</t>
  </si>
  <si>
    <t xml:space="preserve">Vehículo 5</t>
  </si>
  <si>
    <t xml:space="preserve">Vehículos 
adicionales</t>
  </si>
  <si>
    <t xml:space="preserve">Vehículos:
(Describa marca, modelo y número de unidades)</t>
  </si>
  <si>
    <t xml:space="preserve">¿Propio o arrendado?</t>
  </si>
  <si>
    <t xml:space="preserve">Mobiliario y equipo de oficina:</t>
  </si>
  <si>
    <t xml:space="preserve">Notebook y equipo de oficina personal</t>
  </si>
  <si>
    <t xml:space="preserve">Equipo y maquinaria especializada:</t>
  </si>
  <si>
    <t xml:space="preserve">EMPLEADOS</t>
  </si>
  <si>
    <t xml:space="preserve">Distribución del personal por áreas</t>
  </si>
  <si>
    <t xml:space="preserve">Oficina: </t>
  </si>
  <si>
    <t xml:space="preserve">Ventas:</t>
  </si>
  <si>
    <t xml:space="preserve">Obreros:</t>
  </si>
  <si>
    <t xml:space="preserve">Depósito:</t>
  </si>
  <si>
    <t xml:space="preserve">Otros:</t>
  </si>
  <si>
    <t xml:space="preserve">Número total personas que trabajan directamente para esta compañía:</t>
  </si>
  <si>
    <t xml:space="preserve">No. de empleados registrados ante el seguro social: </t>
  </si>
  <si>
    <t xml:space="preserve">¿Cuenta con empleados contratadas por honorarios? </t>
  </si>
  <si>
    <t xml:space="preserve">¿Cuenta con empleados contratados por outsourcing? </t>
  </si>
  <si>
    <t xml:space="preserve">CERTIFICADOS DE CALIDAD</t>
  </si>
  <si>
    <t xml:space="preserve">Certificación 1</t>
  </si>
  <si>
    <t xml:space="preserve">Certificación 2</t>
  </si>
  <si>
    <t xml:space="preserve">Certificación 3</t>
  </si>
  <si>
    <t xml:space="preserve">Certificación 4</t>
  </si>
  <si>
    <t xml:space="preserve">Certificación 5</t>
  </si>
  <si>
    <r>
      <rPr>
        <sz val="11"/>
        <color theme="1"/>
        <rFont val="Open Sans"/>
        <family val="2"/>
        <charset val="1"/>
      </rPr>
      <t xml:space="preserve">Tipo de registro de calidad: 
(E</t>
    </r>
    <r>
      <rPr>
        <sz val="8"/>
        <color theme="1"/>
        <rFont val="Open Sans"/>
        <family val="2"/>
        <charset val="1"/>
      </rPr>
      <t xml:space="preserve">jemplo: ISO 9001)</t>
    </r>
  </si>
  <si>
    <t xml:space="preserve">Aplica para:</t>
  </si>
  <si>
    <t xml:space="preserve">No. de registro:</t>
  </si>
  <si>
    <t xml:space="preserve">Vigencia:</t>
  </si>
  <si>
    <t xml:space="preserve">VENTAS</t>
  </si>
  <si>
    <t xml:space="preserve">Número total de clientes:
 (Nacionales y extranjeros):</t>
  </si>
  <si>
    <t xml:space="preserve">Indique porcentaje de participación de ventas en los siguientes conceptos:</t>
  </si>
  <si>
    <t xml:space="preserve">Privado:</t>
  </si>
  <si>
    <t xml:space="preserve">Gobierno:</t>
  </si>
  <si>
    <t xml:space="preserve">Filiales:</t>
  </si>
  <si>
    <t xml:space="preserve">Distribuidor:</t>
  </si>
  <si>
    <t xml:space="preserve">Público general:</t>
  </si>
  <si>
    <t xml:space="preserve">Matriz:</t>
  </si>
  <si>
    <t xml:space="preserve">Subsidiarias:</t>
  </si>
  <si>
    <t xml:space="preserve">Cía. grupo:</t>
  </si>
  <si>
    <t xml:space="preserve">Distribución de ventas </t>
  </si>
  <si>
    <t xml:space="preserve">Total</t>
  </si>
  <si>
    <t xml:space="preserve">Porcentaje de ventas nacionales:</t>
  </si>
  <si>
    <t xml:space="preserve">Porcentaje de ventas internacionales:</t>
  </si>
  <si>
    <t xml:space="preserve">Seleccione la opción que mejor corresponda:</t>
  </si>
  <si>
    <t xml:space="preserve">Las ventas se mantienen a lo largo de todo el año</t>
  </si>
  <si>
    <t xml:space="preserve">Temporada descripción: </t>
  </si>
  <si>
    <r>
      <rPr>
        <sz val="11"/>
        <color theme="1"/>
        <rFont val="Open Sans"/>
        <family val="2"/>
        <charset val="1"/>
      </rPr>
      <t xml:space="preserve">Contribución a la comunidad:
</t>
    </r>
    <r>
      <rPr>
        <sz val="8"/>
        <color theme="1"/>
        <rFont val="Open Sans"/>
        <family val="2"/>
        <charset val="1"/>
      </rPr>
      <t xml:space="preserve">(Si su empresa ha realizado algún proyecto, donación o campaña verde en apoyo a la comunidad, indique el año y el porcentaje de las ventas que se destinó a estos fines. Ejemplo: 2016=10%, 2018=5% Puede ingresar información de hasta tres años.)</t>
    </r>
  </si>
  <si>
    <t xml:space="preserve">PRINCIPALES CLIENTES</t>
  </si>
  <si>
    <t xml:space="preserve">Cliente 1</t>
  </si>
  <si>
    <t xml:space="preserve">Cliente 2</t>
  </si>
  <si>
    <t xml:space="preserve">Cliente 3</t>
  </si>
  <si>
    <t xml:space="preserve">Cliente 4</t>
  </si>
  <si>
    <t xml:space="preserve">Cliente 5</t>
  </si>
  <si>
    <t xml:space="preserve">Ministerio de Salud de Santiago del Estero</t>
  </si>
  <si>
    <t xml:space="preserve">Porcentaje de ventas:</t>
  </si>
  <si>
    <t xml:space="preserve">SEGUROS</t>
  </si>
  <si>
    <t xml:space="preserve">Aseguradora 1</t>
  </si>
  <si>
    <t xml:space="preserve">Aseguradora 2</t>
  </si>
  <si>
    <t xml:space="preserve">Aseguradora 3</t>
  </si>
  <si>
    <t xml:space="preserve">Aseguradora 4</t>
  </si>
  <si>
    <t xml:space="preserve">Aseguradora 5</t>
  </si>
  <si>
    <t xml:space="preserve">Nombre de la aseguradora:</t>
  </si>
  <si>
    <t xml:space="preserve">Cobertura:</t>
  </si>
  <si>
    <t xml:space="preserve">BANCOS</t>
  </si>
  <si>
    <t xml:space="preserve">BANCO 1</t>
  </si>
  <si>
    <t xml:space="preserve">BANCO 2</t>
  </si>
  <si>
    <t xml:space="preserve">BANCO 3</t>
  </si>
  <si>
    <t xml:space="preserve">BANCO 4</t>
  </si>
  <si>
    <t xml:space="preserve">BANCO 5</t>
  </si>
  <si>
    <t xml:space="preserve">Razón social del Banco:</t>
  </si>
  <si>
    <t xml:space="preserve">Banco de la Nación Argentina (CBU 0110499230049924833665)</t>
  </si>
  <si>
    <t xml:space="preserve">INFORMACIÓN FINANCIERA   (Si lo desea, puede enviar el estado financiero por mail)</t>
  </si>
  <si>
    <t xml:space="preserve">BALANCE GENERAL</t>
  </si>
  <si>
    <t xml:space="preserve">Tipo de Balance:</t>
  </si>
  <si>
    <t xml:space="preserve">Cifras en:</t>
  </si>
  <si>
    <t xml:space="preserve">ACTIVO</t>
  </si>
  <si>
    <t xml:space="preserve">PASIVO</t>
  </si>
  <si>
    <t xml:space="preserve">CONCEPTO</t>
  </si>
  <si>
    <t xml:space="preserve">CUENTA</t>
  </si>
  <si>
    <t xml:space="preserve">Caja y Bancos</t>
  </si>
  <si>
    <t xml:space="preserve">Bancos Corto Plazo</t>
  </si>
  <si>
    <t xml:space="preserve">Inversiones</t>
  </si>
  <si>
    <t xml:space="preserve">Documentos por Pagar</t>
  </si>
  <si>
    <t xml:space="preserve">Cuentas por Cobrar</t>
  </si>
  <si>
    <t xml:space="preserve">Proveedores</t>
  </si>
  <si>
    <t xml:space="preserve">Clientes</t>
  </si>
  <si>
    <t xml:space="preserve">Acreedores Diversos</t>
  </si>
  <si>
    <t xml:space="preserve">Deudores Diversos</t>
  </si>
  <si>
    <t xml:space="preserve">Impuestos por Pagar</t>
  </si>
  <si>
    <t xml:space="preserve">Inventario Total</t>
  </si>
  <si>
    <t xml:space="preserve">Anticipo a Clientes</t>
  </si>
  <si>
    <t xml:space="preserve">Anticipo a Proveedores</t>
  </si>
  <si>
    <t xml:space="preserve">Intercompañías</t>
  </si>
  <si>
    <t xml:space="preserve">Reservas</t>
  </si>
  <si>
    <t xml:space="preserve">Otros Activos Corrientes</t>
  </si>
  <si>
    <t xml:space="preserve">Otros Pasivos a Corto Plazo</t>
  </si>
  <si>
    <t xml:space="preserve">Activo Corriente</t>
  </si>
  <si>
    <t xml:space="preserve">Pasivo Corriente</t>
  </si>
  <si>
    <t xml:space="preserve">Inmuebles</t>
  </si>
  <si>
    <t xml:space="preserve">Deuda Bancaria</t>
  </si>
  <si>
    <t xml:space="preserve">Maquinaria y Equipo</t>
  </si>
  <si>
    <t xml:space="preserve">Ctas por pagar a LP</t>
  </si>
  <si>
    <t xml:space="preserve">Otros activos fijos</t>
  </si>
  <si>
    <t xml:space="preserve">Pasivo a Largo Plazo</t>
  </si>
  <si>
    <t xml:space="preserve">Activo Fijo</t>
  </si>
  <si>
    <t xml:space="preserve">Gastos Anticipados</t>
  </si>
  <si>
    <t xml:space="preserve">Pasivo total</t>
  </si>
  <si>
    <t xml:space="preserve">Impuestos Diferidos</t>
  </si>
  <si>
    <t xml:space="preserve">Capital Social</t>
  </si>
  <si>
    <t xml:space="preserve">Otros</t>
  </si>
  <si>
    <t xml:space="preserve">Reserva Legal</t>
  </si>
  <si>
    <t xml:space="preserve">Activo diferido</t>
  </si>
  <si>
    <t xml:space="preserve">Superávit de Capital</t>
  </si>
  <si>
    <t xml:space="preserve">Otras cuentas de capital</t>
  </si>
  <si>
    <t xml:space="preserve">Resultado Ejercicios anteriores</t>
  </si>
  <si>
    <t xml:space="preserve">Capital Contable</t>
  </si>
  <si>
    <t xml:space="preserve">Activo Total</t>
  </si>
  <si>
    <t xml:space="preserve">Pasivo + Capital</t>
  </si>
  <si>
    <t xml:space="preserve">ESTADO DE PÉRDIDAS Y GANANCIAS</t>
  </si>
  <si>
    <t xml:space="preserve">Ventas</t>
  </si>
  <si>
    <t xml:space="preserve">Costo de Ventas</t>
  </si>
  <si>
    <t xml:space="preserve">Resultado Bruto</t>
  </si>
  <si>
    <t xml:space="preserve">Gastos de Operación</t>
  </si>
  <si>
    <t xml:space="preserve">Gastos Administrativos</t>
  </si>
  <si>
    <t xml:space="preserve">Resultado de operación</t>
  </si>
  <si>
    <t xml:space="preserve">Otros Ingresos / Productos</t>
  </si>
  <si>
    <t xml:space="preserve">Gastos Financieros</t>
  </si>
  <si>
    <t xml:space="preserve">Otros Gastos</t>
  </si>
  <si>
    <t xml:space="preserve">Resultado Antes de Impuestos</t>
  </si>
  <si>
    <t xml:space="preserve">Impuesto a las Ganancias</t>
  </si>
  <si>
    <t xml:space="preserve">RESULTADO NETO</t>
  </si>
  <si>
    <t xml:space="preserve">INFORMACIÓN FINANCIERA PARCIAL</t>
  </si>
  <si>
    <t xml:space="preserve">Estado Financiero al:</t>
  </si>
  <si>
    <t xml:space="preserve">Agregue más cuentras si es necesario. Si el espacio es insuficiente, anexe su información financiera completa y correcta</t>
  </si>
  <si>
    <t xml:space="preserve">Impuesto al activo</t>
  </si>
  <si>
    <t xml:space="preserve">COMENTARIOS ADICIONALES</t>
  </si>
  <si>
    <t xml:space="preserve">Agregue cualquier otro detalle que considere importante para su evaluación:</t>
  </si>
  <si>
    <t xml:space="preserve">Solicitud de número D-U-N-S para Google Play Console (apps de salud Bioenlace). Persona física monotributista Argentina. CUIT 20-29486884-5. Adhesión Monotributo F.184: vigencia desde 01/08/2025 (categoría A Locaciones de Servicios). Nombre comercial: Bioenlace. Sitio: https://bioenlace.io</t>
  </si>
  <si>
    <t xml:space="preserve">Régimen de las actividades agrícolas/ganaderas/silvícolas/pesqueras (Sector primario)</t>
  </si>
  <si>
    <t xml:space="preserve">Régimen de los coordinados</t>
  </si>
  <si>
    <t xml:space="preserve">Régimen general de ley</t>
  </si>
  <si>
    <t xml:space="preserve">Régimen opcional para grupo de sociedades</t>
  </si>
  <si>
    <t xml:space="preserve">Actividad empresarial</t>
  </si>
  <si>
    <t xml:space="preserve">Actividad empresarial y profesional</t>
  </si>
  <si>
    <t xml:space="preserve">Honorarios</t>
  </si>
  <si>
    <t xml:space="preserve">Incorporación fiscal</t>
  </si>
  <si>
    <t xml:space="preserve">Pequeño contribuyente</t>
  </si>
  <si>
    <t xml:space="preserve"> Régimen simplificado de confianza</t>
  </si>
  <si>
    <t xml:space="preserve">Régimen intermedio</t>
  </si>
  <si>
    <t xml:space="preserve">Sueldos y salarios</t>
  </si>
  <si>
    <t xml:space="preserve">Coberturas</t>
  </si>
  <si>
    <t xml:space="preserve">activos fijos</t>
  </si>
  <si>
    <t xml:space="preserve">camiones</t>
  </si>
  <si>
    <t xml:space="preserve">camionetas</t>
  </si>
  <si>
    <t xml:space="preserve">contenido</t>
  </si>
  <si>
    <t xml:space="preserve">daños maliciosos</t>
  </si>
  <si>
    <t xml:space="preserve">desastres naturales</t>
  </si>
  <si>
    <t xml:space="preserve">edificio</t>
  </si>
  <si>
    <t xml:space="preserve">equipo</t>
  </si>
  <si>
    <t xml:space="preserve">equipo de transporte</t>
  </si>
  <si>
    <t xml:space="preserve">equipos arrendados</t>
  </si>
  <si>
    <t xml:space="preserve">explosiones</t>
  </si>
  <si>
    <t xml:space="preserve">fianzas</t>
  </si>
  <si>
    <t xml:space="preserve">fondos en tránsito</t>
  </si>
  <si>
    <t xml:space="preserve">HCM</t>
  </si>
  <si>
    <t xml:space="preserve">huracanes</t>
  </si>
  <si>
    <t xml:space="preserve">Incendio</t>
  </si>
  <si>
    <t xml:space="preserve">Responsabilidad civil</t>
  </si>
  <si>
    <t xml:space="preserve">riesgos de crédito</t>
  </si>
  <si>
    <t xml:space="preserve">riesgos diversos</t>
  </si>
  <si>
    <t xml:space="preserve">robo</t>
  </si>
  <si>
    <t xml:space="preserve">robo con violencia</t>
  </si>
  <si>
    <t xml:space="preserve">rodados</t>
  </si>
  <si>
    <t xml:space="preserve">saqueo</t>
  </si>
  <si>
    <t xml:space="preserve">seguro de vida</t>
  </si>
  <si>
    <t xml:space="preserve">terremotos</t>
  </si>
  <si>
    <t xml:space="preserve">todo riesgo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</si>
</sst>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\$* #,##0.00_-;&quot;-$&quot;* #,##0.00_-;_-\$* \-??_-;_-@_-"/>
    <numFmt numFmtId="166" formatCode="[$-2C0A]d&quot; de &quot;mmmm&quot; de &quot;yyyy;@"/>
    <numFmt numFmtId="167" formatCode="dd/mm/yyyy"/>
    <numFmt numFmtId="168" formatCode="0\ %"/>
    <numFmt numFmtId="169" formatCode="0"/>
    <numFmt numFmtId="170" formatCode="@"/>
    <numFmt numFmtId="171" formatCode="0.00"/>
    <numFmt numFmtId="172" formatCode="dd/mm/yyyy;@"/>
    <numFmt numFmtId="173" formatCode="0.00\ %"/>
    <numFmt numFmtId="174" formatCode="_-\$* #,##0.00_-;&quot;-$&quot;* #,##0.00_-;_-\$* \-??_-;_-@"/>
  </numFmts>
  <fonts count="5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theme="1"/>
      <name val="Open Sans"/>
      <family val="2"/>
      <charset val="1"/>
    </font>
    <font>
      <sz val="11"/>
      <color theme="0"/>
      <name val="Open Sans"/>
      <family val="2"/>
      <charset val="1"/>
    </font>
    <font>
      <b val="true"/>
      <sz val="18"/>
      <color rgb="FFFF0000"/>
      <name val="Open Sans"/>
      <family val="2"/>
      <charset val="1"/>
    </font>
    <font>
      <b val="true"/>
      <sz val="22"/>
      <color rgb="FF005172"/>
      <name val="Open Sans"/>
      <family val="2"/>
      <charset val="1"/>
    </font>
    <font>
      <sz val="16"/>
      <color theme="2" tint="-0.5"/>
      <name val="Open Sans"/>
      <family val="2"/>
      <charset val="1"/>
    </font>
    <font>
      <sz val="11"/>
      <color theme="2" tint="-0.5"/>
      <name val="Open Sans"/>
      <family val="2"/>
      <charset val="1"/>
    </font>
    <font>
      <u val="single"/>
      <sz val="8"/>
      <color theme="2" tint="-0.25"/>
      <name val="Open Sans"/>
      <family val="2"/>
      <charset val="1"/>
    </font>
    <font>
      <u val="single"/>
      <sz val="8"/>
      <color theme="2" tint="-0.25"/>
      <name val="Calibri"/>
      <family val="2"/>
      <charset val="1"/>
    </font>
    <font>
      <b val="true"/>
      <sz val="14"/>
      <color rgb="FF005172"/>
      <name val="Open Sans"/>
      <family val="2"/>
      <charset val="1"/>
    </font>
    <font>
      <sz val="12"/>
      <color theme="2" tint="-0.5"/>
      <name val="Open Sans"/>
      <family val="2"/>
      <charset val="1"/>
    </font>
    <font>
      <sz val="12"/>
      <color rgb="FFFF0000"/>
      <name val="Open Sans"/>
      <family val="2"/>
      <charset val="1"/>
    </font>
    <font>
      <b val="true"/>
      <sz val="12"/>
      <color theme="2" tint="-0.5"/>
      <name val="Open Sans"/>
      <family val="2"/>
      <charset val="1"/>
    </font>
    <font>
      <b val="true"/>
      <sz val="12"/>
      <color rgb="FF3095B4"/>
      <name val="Open Sans"/>
      <family val="2"/>
      <charset val="1"/>
    </font>
    <font>
      <b val="true"/>
      <sz val="11"/>
      <color theme="2" tint="-0.5"/>
      <name val="Open Sans"/>
      <family val="2"/>
      <charset val="1"/>
    </font>
    <font>
      <sz val="14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3095B4"/>
      <name val="Open Sans"/>
      <family val="2"/>
      <charset val="1"/>
    </font>
    <font>
      <b val="true"/>
      <sz val="14"/>
      <color theme="0"/>
      <name val="Open Sans"/>
      <family val="2"/>
      <charset val="1"/>
    </font>
    <font>
      <sz val="12"/>
      <color theme="1" tint="0.2499"/>
      <name val="Open Sans"/>
      <family val="2"/>
      <charset val="1"/>
    </font>
    <font>
      <sz val="12"/>
      <color theme="1"/>
      <name val="Open Sans"/>
      <family val="2"/>
      <charset val="1"/>
    </font>
    <font>
      <u val="single"/>
      <sz val="11"/>
      <color theme="10"/>
      <name val="Open Sans"/>
      <family val="2"/>
      <charset val="1"/>
    </font>
    <font>
      <sz val="11"/>
      <color theme="1" tint="0.2499"/>
      <name val="Open Sans"/>
      <family val="2"/>
      <charset val="1"/>
    </font>
    <font>
      <sz val="8"/>
      <color theme="1"/>
      <name val="Open Sans"/>
      <family val="2"/>
      <charset val="1"/>
    </font>
    <font>
      <sz val="11"/>
      <color theme="2" tint="-0.75"/>
      <name val="Open Sans"/>
      <family val="2"/>
      <charset val="1"/>
    </font>
    <font>
      <sz val="11"/>
      <color theme="1"/>
      <name val="Open Sans"/>
      <family val="2"/>
    </font>
    <font>
      <b val="true"/>
      <sz val="11"/>
      <color theme="1"/>
      <name val="Open Sans"/>
      <family val="2"/>
      <charset val="1"/>
    </font>
    <font>
      <sz val="11"/>
      <color rgb="FF005172"/>
      <name val="Open Sans"/>
      <family val="2"/>
      <charset val="1"/>
    </font>
    <font>
      <sz val="11"/>
      <color theme="1" tint="0.2499"/>
      <name val="Open Sans"/>
      <family val="2"/>
    </font>
    <font>
      <b val="true"/>
      <sz val="11"/>
      <color rgb="FF005172"/>
      <name val="Open Sans"/>
      <family val="2"/>
      <charset val="1"/>
    </font>
    <font>
      <b val="true"/>
      <sz val="12"/>
      <color rgb="FF005172"/>
      <name val="Open Sans"/>
      <family val="2"/>
      <charset val="1"/>
    </font>
    <font>
      <sz val="8"/>
      <color theme="0" tint="-0.5"/>
      <name val="Open Sans"/>
      <family val="2"/>
      <charset val="1"/>
    </font>
    <font>
      <b val="true"/>
      <sz val="14"/>
      <color theme="1"/>
      <name val="Open Sans"/>
      <family val="2"/>
      <charset val="1"/>
    </font>
    <font>
      <b val="true"/>
      <sz val="12"/>
      <color theme="2" tint="-0.75"/>
      <name val="Open Sans"/>
      <family val="2"/>
      <charset val="1"/>
    </font>
    <font>
      <b val="true"/>
      <sz val="14"/>
      <color theme="2" tint="-0.75"/>
      <name val="Open Sans"/>
      <family val="2"/>
      <charset val="1"/>
    </font>
    <font>
      <sz val="11"/>
      <color theme="1" tint="0.15"/>
      <name val="Open Sans"/>
      <family val="2"/>
      <charset val="1"/>
    </font>
    <font>
      <b val="true"/>
      <sz val="11"/>
      <color theme="0"/>
      <name val="Open Sans"/>
      <family val="2"/>
      <charset val="1"/>
    </font>
    <font>
      <sz val="14"/>
      <color theme="0"/>
      <name val="Open Sans"/>
      <family val="2"/>
      <charset val="1"/>
    </font>
    <font>
      <sz val="14"/>
      <color theme="1"/>
      <name val="Open Sans"/>
      <family val="2"/>
      <charset val="1"/>
    </font>
    <font>
      <sz val="11"/>
      <color theme="1" tint="0.3499"/>
      <name val="Open Sans"/>
      <family val="2"/>
      <charset val="1"/>
    </font>
    <font>
      <b val="true"/>
      <sz val="12"/>
      <color theme="0"/>
      <name val="Open Sans"/>
      <family val="2"/>
      <charset val="1"/>
    </font>
    <font>
      <b val="true"/>
      <sz val="11"/>
      <color rgb="FF3095B4"/>
      <name val="Open Sans"/>
      <family val="2"/>
      <charset val="1"/>
    </font>
    <font>
      <b val="true"/>
      <sz val="10"/>
      <color theme="1"/>
      <name val="Open Sans"/>
      <family val="2"/>
      <charset val="1"/>
    </font>
    <font>
      <b val="true"/>
      <sz val="12"/>
      <color theme="1"/>
      <name val="Open Sans"/>
      <family val="2"/>
      <charset val="1"/>
    </font>
    <font>
      <b val="true"/>
      <sz val="16"/>
      <color theme="0"/>
      <name val="Open Sans"/>
      <family val="2"/>
      <charset val="1"/>
    </font>
    <font>
      <sz val="12"/>
      <color theme="0"/>
      <name val="Open Sans"/>
      <family val="2"/>
      <charset val="1"/>
    </font>
    <font>
      <b val="true"/>
      <sz val="11"/>
      <color rgb="FF00B050"/>
      <name val="Open Sans"/>
      <family val="2"/>
      <charset val="1"/>
    </font>
    <font>
      <i val="true"/>
      <sz val="11"/>
      <color rgb="FF005172"/>
      <name val="Open Sans"/>
      <family val="2"/>
      <charset val="1"/>
    </font>
    <font>
      <b val="true"/>
      <sz val="36"/>
      <color rgb="FF3095B4"/>
      <name val="Open Sans"/>
      <family val="0"/>
    </font>
    <font>
      <b val="true"/>
      <sz val="36"/>
      <color rgb="FF005172"/>
      <name val="Open Sans"/>
      <family val="2"/>
    </font>
    <font>
      <b val="true"/>
      <sz val="36"/>
      <color rgb="FF3095B4"/>
      <name val="Calibri"/>
      <family val="0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005172"/>
        <bgColor rgb="FF0563C1"/>
      </patternFill>
    </fill>
    <fill>
      <patternFill patternType="solid">
        <fgColor theme="0" tint="-0.15"/>
        <bgColor rgb="FFC6EFCE"/>
      </patternFill>
    </fill>
  </fills>
  <borders count="9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005172"/>
      </left>
      <right/>
      <top style="medium">
        <color rgb="FF005172"/>
      </top>
      <bottom/>
      <diagonal/>
    </border>
    <border diagonalUp="false" diagonalDown="false">
      <left/>
      <right/>
      <top style="medium">
        <color rgb="FF005172"/>
      </top>
      <bottom/>
      <diagonal/>
    </border>
    <border diagonalUp="false" diagonalDown="false">
      <left/>
      <right style="medium">
        <color rgb="FF005172"/>
      </right>
      <top style="medium">
        <color rgb="FF005172"/>
      </top>
      <bottom/>
      <diagonal/>
    </border>
    <border diagonalUp="false" diagonalDown="false">
      <left style="medium">
        <color rgb="FF005172"/>
      </left>
      <right/>
      <top/>
      <bottom/>
      <diagonal/>
    </border>
    <border diagonalUp="false" diagonalDown="false">
      <left/>
      <right style="medium">
        <color rgb="FF005172"/>
      </right>
      <top/>
      <bottom/>
      <diagonal/>
    </border>
    <border diagonalUp="false" diagonalDown="false">
      <left style="medium">
        <color rgb="FF3095B4"/>
      </left>
      <right style="medium">
        <color rgb="FF3095B4"/>
      </right>
      <top style="medium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/>
      <top style="medium">
        <color rgb="FF3095B4"/>
      </top>
      <bottom/>
      <diagonal/>
    </border>
    <border diagonalUp="false" diagonalDown="false">
      <left/>
      <right/>
      <top style="medium">
        <color rgb="FF3095B4"/>
      </top>
      <bottom/>
      <diagonal/>
    </border>
    <border diagonalUp="false" diagonalDown="false">
      <left/>
      <right style="medium">
        <color rgb="FF3095B4"/>
      </right>
      <top style="medium">
        <color rgb="FF3095B4"/>
      </top>
      <bottom/>
      <diagonal/>
    </border>
    <border diagonalUp="false" diagonalDown="false">
      <left style="medium">
        <color rgb="FF3095B4"/>
      </left>
      <right/>
      <top/>
      <bottom/>
      <diagonal/>
    </border>
    <border diagonalUp="false" diagonalDown="false">
      <left/>
      <right style="medium">
        <color rgb="FF3095B4"/>
      </right>
      <top/>
      <bottom/>
      <diagonal/>
    </border>
    <border diagonalUp="false" diagonalDown="false">
      <left style="medium">
        <color rgb="FF3095B4"/>
      </left>
      <right/>
      <top/>
      <bottom style="medium">
        <color rgb="FF3095B4"/>
      </bottom>
      <diagonal/>
    </border>
    <border diagonalUp="false" diagonalDown="false">
      <left/>
      <right/>
      <top/>
      <bottom style="medium">
        <color rgb="FF3095B4"/>
      </bottom>
      <diagonal/>
    </border>
    <border diagonalUp="false" diagonalDown="false">
      <left/>
      <right style="medium">
        <color rgb="FF3095B4"/>
      </right>
      <top/>
      <bottom style="medium">
        <color rgb="FF3095B4"/>
      </bottom>
      <diagonal/>
    </border>
    <border diagonalUp="false" diagonalDown="false">
      <left style="medium">
        <color rgb="FF3095B4"/>
      </left>
      <right style="dotted">
        <color rgb="FF3095B4"/>
      </right>
      <top/>
      <bottom style="dotted">
        <color rgb="FF3095B4"/>
      </bottom>
      <diagonal/>
    </border>
    <border diagonalUp="false" diagonalDown="false">
      <left style="dotted">
        <color rgb="FF3095B4"/>
      </left>
      <right style="dotted">
        <color rgb="FF3095B4"/>
      </right>
      <top/>
      <bottom style="dotted">
        <color rgb="FF3095B4"/>
      </bottom>
      <diagonal/>
    </border>
    <border diagonalUp="false" diagonalDown="false">
      <left style="medium">
        <color rgb="FF3095B4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 style="dotted">
        <color rgb="FF3095B4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 style="medium">
        <color rgb="FF3095B4"/>
      </left>
      <right style="dotted">
        <color rgb="FF3095B4"/>
      </right>
      <top style="dotted">
        <color rgb="FF3095B4"/>
      </top>
      <bottom/>
      <diagonal/>
    </border>
    <border diagonalUp="false" diagonalDown="false">
      <left style="dotted">
        <color rgb="FF3095B4"/>
      </left>
      <right style="medium">
        <color rgb="FF3095B4"/>
      </right>
      <top style="dotted">
        <color rgb="FF3095B4"/>
      </top>
      <bottom/>
      <diagonal/>
    </border>
    <border diagonalUp="false" diagonalDown="false">
      <left style="medium">
        <color rgb="FF3095B4"/>
      </left>
      <right style="dotted">
        <color rgb="FF3095B4"/>
      </right>
      <top/>
      <bottom/>
      <diagonal/>
    </border>
    <border diagonalUp="false" diagonalDown="false">
      <left style="medium">
        <color rgb="FF3095B4"/>
      </left>
      <right style="dotted">
        <color rgb="FF3095B4"/>
      </right>
      <top style="dotted">
        <color rgb="FF3095B4"/>
      </top>
      <bottom style="medium">
        <color rgb="FF3095B4"/>
      </bottom>
      <diagonal/>
    </border>
    <border diagonalUp="false" diagonalDown="false">
      <left style="dotted">
        <color rgb="FF3095B4"/>
      </left>
      <right style="dotted">
        <color rgb="FF3095B4"/>
      </right>
      <top style="dotted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 style="medium">
        <color rgb="FF3095B4"/>
      </right>
      <top style="medium">
        <color rgb="FF3095B4"/>
      </top>
      <bottom/>
      <diagonal/>
    </border>
    <border diagonalUp="false" diagonalDown="false">
      <left style="medium">
        <color rgb="FF3095B4"/>
      </left>
      <right style="dotted">
        <color rgb="FF3095B4"/>
      </right>
      <top style="medium">
        <color rgb="FF3095B4"/>
      </top>
      <bottom style="dotted">
        <color rgb="FF3095B4"/>
      </bottom>
      <diagonal/>
    </border>
    <border diagonalUp="false" diagonalDown="false">
      <left style="dotted">
        <color rgb="FF3095B4"/>
      </left>
      <right style="dotted">
        <color rgb="FF3095B4"/>
      </right>
      <top style="medium">
        <color rgb="FF3095B4"/>
      </top>
      <bottom style="dotted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 style="dotted">
        <color rgb="FF3095B4"/>
      </top>
      <bottom style="medium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 style="medium">
        <color rgb="FF3095B4"/>
      </top>
      <bottom style="dotted">
        <color rgb="FF3095B4"/>
      </bottom>
      <diagonal/>
    </border>
    <border diagonalUp="false" diagonalDown="false">
      <left style="medium">
        <color rgb="FF3095B4"/>
      </left>
      <right style="medium">
        <color rgb="FF3095B4"/>
      </right>
      <top/>
      <bottom style="medium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/>
      <bottom style="dotted">
        <color rgb="FF3095B4"/>
      </bottom>
      <diagonal/>
    </border>
    <border diagonalUp="false" diagonalDown="false">
      <left style="dotted">
        <color rgb="FF3095B4"/>
      </left>
      <right style="dotted">
        <color rgb="FF3095B4"/>
      </right>
      <top/>
      <bottom style="medium">
        <color rgb="FF3095B4"/>
      </bottom>
      <diagonal/>
    </border>
    <border diagonalUp="false" diagonalDown="false">
      <left/>
      <right style="medium"/>
      <top/>
      <bottom/>
      <diagonal/>
    </border>
    <border diagonalUp="false" diagonalDown="false">
      <left style="medium">
        <color rgb="FF3095B4"/>
      </left>
      <right style="dotted">
        <color rgb="FF3095B4"/>
      </right>
      <top/>
      <bottom style="medium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/>
      <bottom style="medium">
        <color rgb="FF3095B4"/>
      </bottom>
      <diagonal/>
    </border>
    <border diagonalUp="false" diagonalDown="false">
      <left/>
      <right style="dotted">
        <color rgb="FF3095B4"/>
      </right>
      <top/>
      <bottom style="dotted">
        <color rgb="FF3095B4"/>
      </bottom>
      <diagonal/>
    </border>
    <border diagonalUp="false" diagonalDown="false">
      <left/>
      <right style="dotted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/>
      <right style="dotted">
        <color rgb="FF3095B4"/>
      </right>
      <top style="dotted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 style="hair">
        <color rgb="FF3095B4"/>
      </right>
      <top style="medium">
        <color rgb="FF3095B4"/>
      </top>
      <bottom style="hair">
        <color rgb="FF3095B4"/>
      </bottom>
      <diagonal/>
    </border>
    <border diagonalUp="false" diagonalDown="false">
      <left style="hair">
        <color rgb="FF3095B4"/>
      </left>
      <right style="hair">
        <color rgb="FF3095B4"/>
      </right>
      <top style="medium">
        <color rgb="FF3095B4"/>
      </top>
      <bottom style="hair">
        <color rgb="FF3095B4"/>
      </bottom>
      <diagonal/>
    </border>
    <border diagonalUp="false" diagonalDown="false">
      <left style="hair">
        <color rgb="FF3095B4"/>
      </left>
      <right style="medium">
        <color rgb="FF3095B4"/>
      </right>
      <top style="medium">
        <color rgb="FF3095B4"/>
      </top>
      <bottom style="hair">
        <color rgb="FF3095B4"/>
      </bottom>
      <diagonal/>
    </border>
    <border diagonalUp="false" diagonalDown="false">
      <left style="medium">
        <color rgb="FF3095B4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 diagonalUp="false" diagonalDown="false">
      <left style="hair">
        <color rgb="FF3095B4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 diagonalUp="false" diagonalDown="false">
      <left style="hair">
        <color rgb="FF3095B4"/>
      </left>
      <right style="medium">
        <color rgb="FF3095B4"/>
      </right>
      <top style="hair">
        <color rgb="FF3095B4"/>
      </top>
      <bottom style="hair">
        <color rgb="FF3095B4"/>
      </bottom>
      <diagonal/>
    </border>
    <border diagonalUp="false" diagonalDown="false">
      <left style="medium">
        <color rgb="FF3095B4"/>
      </left>
      <right/>
      <top style="hair">
        <color rgb="FF3095B4"/>
      </top>
      <bottom/>
      <diagonal/>
    </border>
    <border diagonalUp="false" diagonalDown="false">
      <left/>
      <right/>
      <top style="medium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 style="medium">
        <color rgb="FF3095B4"/>
      </right>
      <top/>
      <bottom/>
      <diagonal/>
    </border>
    <border diagonalUp="false" diagonalDown="false">
      <left style="dotted">
        <color rgb="FF3095B4"/>
      </left>
      <right style="dotted">
        <color rgb="FF3095B4"/>
      </right>
      <top style="dotted">
        <color rgb="FF3095B4"/>
      </top>
      <bottom/>
      <diagonal/>
    </border>
    <border diagonalUp="false" diagonalDown="false">
      <left style="medium">
        <color rgb="FF3095B4"/>
      </left>
      <right/>
      <top style="dotted">
        <color rgb="FF3095B4"/>
      </top>
      <bottom style="dotted">
        <color rgb="FF3095B4"/>
      </bottom>
      <diagonal/>
    </border>
    <border diagonalUp="false" diagonalDown="false">
      <left style="medium">
        <color rgb="FF3095B4"/>
      </left>
      <right/>
      <top style="dotted">
        <color rgb="FF3095B4"/>
      </top>
      <bottom/>
      <diagonal/>
    </border>
    <border diagonalUp="false" diagonalDown="false">
      <left style="medium">
        <color rgb="FF3095B4"/>
      </left>
      <right/>
      <top style="dotted">
        <color rgb="FF3095B4"/>
      </top>
      <bottom style="medium">
        <color rgb="FF3095B4"/>
      </bottom>
      <diagonal/>
    </border>
    <border diagonalUp="false" diagonalDown="false">
      <left style="hair">
        <color rgb="FF3095B4"/>
      </left>
      <right style="hair">
        <color rgb="FF3095B4"/>
      </right>
      <top style="hair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3095B4"/>
      </left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>
        <color rgb="FF3095B4"/>
      </right>
      <top style="thin"/>
      <bottom style="thin"/>
      <diagonal/>
    </border>
    <border diagonalUp="false" diagonalDown="false">
      <left style="medium">
        <color rgb="FF3095B4"/>
      </left>
      <right style="thin"/>
      <top style="thin"/>
      <bottom style="medium">
        <color rgb="FF3095B4"/>
      </bottom>
      <diagonal/>
    </border>
    <border diagonalUp="false" diagonalDown="false">
      <left style="thin"/>
      <right style="medium">
        <color rgb="FF3095B4"/>
      </right>
      <top style="thin"/>
      <bottom style="medium">
        <color rgb="FF3095B4"/>
      </bottom>
      <diagonal/>
    </border>
    <border diagonalUp="false" diagonalDown="false">
      <left style="dotted">
        <color rgb="FF3095B4"/>
      </left>
      <right style="medium">
        <color rgb="FF3095B4"/>
      </right>
      <top/>
      <bottom/>
      <diagonal/>
    </border>
    <border diagonalUp="false" diagonalDown="false">
      <left/>
      <right style="medium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 style="medium">
        <color rgb="FF3095B4"/>
      </left>
      <right style="medium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/>
      <right style="medium">
        <color rgb="FF3095B4"/>
      </right>
      <top style="dotted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 style="dotted">
        <color rgb="FF3095B4"/>
      </right>
      <top style="medium">
        <color rgb="FF3095B4"/>
      </top>
      <bottom/>
      <diagonal/>
    </border>
    <border diagonalUp="false" diagonalDown="false">
      <left style="dotted">
        <color rgb="FF3095B4"/>
      </left>
      <right style="medium">
        <color rgb="FF3095B4"/>
      </right>
      <top style="medium">
        <color rgb="FF3095B4"/>
      </top>
      <bottom style="medium">
        <color rgb="FF3095B4"/>
      </bottom>
      <diagonal/>
    </border>
    <border diagonalUp="false" diagonalDown="false">
      <left style="medium">
        <color rgb="FF3095B4"/>
      </left>
      <right/>
      <top/>
      <bottom style="dotted">
        <color rgb="FF3095B4"/>
      </bottom>
      <diagonal/>
    </border>
    <border diagonalUp="false" diagonalDown="false">
      <left/>
      <right/>
      <top style="dotted">
        <color rgb="FF3095B4"/>
      </top>
      <bottom style="dotted">
        <color rgb="FF3095B4"/>
      </bottom>
      <diagonal/>
    </border>
    <border diagonalUp="false" diagonalDown="false">
      <left/>
      <right/>
      <top/>
      <bottom style="dotted">
        <color rgb="FF3095B4"/>
      </bottom>
      <diagonal/>
    </border>
    <border diagonalUp="false" diagonalDown="false">
      <left style="medium">
        <color rgb="FF3095B4"/>
      </left>
      <right/>
      <top style="medium">
        <color rgb="FF3095B4"/>
      </top>
      <bottom style="medium">
        <color rgb="FF3095B4"/>
      </bottom>
      <diagonal/>
    </border>
    <border diagonalUp="false" diagonalDown="false">
      <left/>
      <right style="medium">
        <color rgb="FF3095B4"/>
      </right>
      <top style="medium">
        <color rgb="FF3095B4"/>
      </top>
      <bottom style="medium">
        <color rgb="FF3095B4"/>
      </bottom>
      <diagonal/>
    </border>
    <border diagonalUp="false" diagonalDown="false">
      <left style="medium">
        <color rgb="FF005172"/>
      </left>
      <right style="medium">
        <color rgb="FF005172"/>
      </right>
      <top style="medium">
        <color rgb="FF005172"/>
      </top>
      <bottom/>
      <diagonal/>
    </border>
    <border diagonalUp="false" diagonalDown="false">
      <left style="medium">
        <color rgb="FF005172"/>
      </left>
      <right style="medium">
        <color rgb="FF005172"/>
      </right>
      <top/>
      <bottom style="medium">
        <color rgb="FF3095B4"/>
      </bottom>
      <diagonal/>
    </border>
    <border diagonalUp="false" diagonalDown="false">
      <left style="medium">
        <color rgb="FF005172"/>
      </left>
      <right style="dotted">
        <color rgb="FF3095B4"/>
      </right>
      <top/>
      <bottom style="dotted">
        <color rgb="FF3095B4"/>
      </bottom>
      <diagonal/>
    </border>
    <border diagonalUp="false" diagonalDown="false">
      <left style="medium">
        <color rgb="FF005172"/>
      </left>
      <right style="dotted">
        <color rgb="FF3095B4"/>
      </right>
      <top style="dotted">
        <color rgb="FF3095B4"/>
      </top>
      <bottom/>
      <diagonal/>
    </border>
    <border diagonalUp="false" diagonalDown="false">
      <left style="medium">
        <color rgb="FF005172"/>
      </left>
      <right style="medium">
        <color rgb="FF005172"/>
      </right>
      <top/>
      <bottom/>
      <diagonal/>
    </border>
    <border diagonalUp="false" diagonalDown="false">
      <left style="dotted">
        <color rgb="FF3095B4"/>
      </left>
      <right style="medium">
        <color rgb="FF005172"/>
      </right>
      <top style="dotted">
        <color rgb="FF3095B4"/>
      </top>
      <bottom style="dotted">
        <color rgb="FF3095B4"/>
      </bottom>
      <diagonal/>
    </border>
    <border diagonalUp="false" diagonalDown="false">
      <left style="medium">
        <color rgb="FF005172"/>
      </left>
      <right style="dotted">
        <color rgb="FF3095B4"/>
      </right>
      <top style="dotted">
        <color rgb="FF3095B4"/>
      </top>
      <bottom style="dotted">
        <color rgb="FF3095B4"/>
      </bottom>
      <diagonal/>
    </border>
    <border diagonalUp="false" diagonalDown="false">
      <left style="medium">
        <color rgb="FF005172"/>
      </left>
      <right/>
      <top style="dotted">
        <color rgb="FF3095B4"/>
      </top>
      <bottom style="dotted">
        <color rgb="FF3095B4"/>
      </bottom>
      <diagonal/>
    </border>
    <border diagonalUp="false" diagonalDown="false">
      <left style="hair">
        <color rgb="FF3095B4"/>
      </left>
      <right style="medium">
        <color rgb="FF005172"/>
      </right>
      <top style="hair">
        <color rgb="FF3095B4"/>
      </top>
      <bottom style="hair">
        <color rgb="FF3095B4"/>
      </bottom>
      <diagonal/>
    </border>
    <border diagonalUp="false" diagonalDown="false">
      <left style="medium">
        <color rgb="FF005172"/>
      </left>
      <right style="medium">
        <color rgb="FF005172"/>
      </right>
      <top style="medium">
        <color rgb="FF005172"/>
      </top>
      <bottom style="medium">
        <color rgb="FF005172"/>
      </bottom>
      <diagonal/>
    </border>
    <border diagonalUp="false" diagonalDown="false">
      <left style="dotted">
        <color rgb="FF3095B4"/>
      </left>
      <right style="medium">
        <color rgb="FF005172"/>
      </right>
      <top/>
      <bottom style="dotted">
        <color rgb="FF3095B4"/>
      </bottom>
      <diagonal/>
    </border>
    <border diagonalUp="false" diagonalDown="false">
      <left style="medium">
        <color rgb="FF005172"/>
      </left>
      <right style="dotted">
        <color rgb="FF3095B4"/>
      </right>
      <top style="dotted">
        <color rgb="FF3095B4"/>
      </top>
      <bottom style="medium">
        <color rgb="FF005172"/>
      </bottom>
      <diagonal/>
    </border>
    <border diagonalUp="false" diagonalDown="false">
      <left style="dotted">
        <color rgb="FF3095B4"/>
      </left>
      <right style="dotted">
        <color rgb="FF3095B4"/>
      </right>
      <top style="dotted">
        <color rgb="FF3095B4"/>
      </top>
      <bottom style="medium">
        <color rgb="FF005172"/>
      </bottom>
      <diagonal/>
    </border>
    <border diagonalUp="false" diagonalDown="false">
      <left style="dotted">
        <color rgb="FF3095B4"/>
      </left>
      <right style="medium">
        <color rgb="FF005172"/>
      </right>
      <top style="dotted">
        <color rgb="FF3095B4"/>
      </top>
      <bottom style="medium">
        <color rgb="FF005172"/>
      </bottom>
      <diagonal/>
    </border>
    <border diagonalUp="false" diagonalDown="false">
      <left style="medium">
        <color rgb="FF005172"/>
      </left>
      <right/>
      <top/>
      <bottom style="medium">
        <color rgb="FF005172"/>
      </bottom>
      <diagonal/>
    </border>
    <border diagonalUp="false" diagonalDown="false">
      <left/>
      <right/>
      <top/>
      <bottom style="medium">
        <color rgb="FF005172"/>
      </bottom>
      <diagonal/>
    </border>
    <border diagonalUp="false" diagonalDown="false">
      <left/>
      <right style="medium">
        <color rgb="FF005172"/>
      </right>
      <top/>
      <bottom style="medium">
        <color rgb="FF005172"/>
      </bottom>
      <diagonal/>
    </border>
    <border diagonalUp="false" diagonalDown="false">
      <left style="medium">
        <color rgb="FF005172"/>
      </left>
      <right style="medium">
        <color rgb="FF005172"/>
      </right>
      <top style="hair">
        <color rgb="FF3095B4"/>
      </top>
      <bottom style="hair">
        <color rgb="FF3095B4"/>
      </bottom>
      <diagonal/>
    </border>
    <border diagonalUp="false" diagonalDown="false">
      <left style="medium">
        <color rgb="FF005172"/>
      </left>
      <right style="hair">
        <color rgb="FF3095B4"/>
      </right>
      <top style="hair">
        <color rgb="FF3095B4"/>
      </top>
      <bottom style="hair">
        <color rgb="FF3095B4"/>
      </bottom>
      <diagonal/>
    </border>
    <border diagonalUp="false" diagonalDown="false">
      <left style="medium">
        <color rgb="FF005172"/>
      </left>
      <right style="hair">
        <color rgb="FF3095B4"/>
      </right>
      <top style="hair">
        <color rgb="FF3095B4"/>
      </top>
      <bottom/>
      <diagonal/>
    </border>
    <border diagonalUp="false" diagonalDown="false">
      <left style="hair">
        <color rgb="FF3095B4"/>
      </left>
      <right style="hair">
        <color rgb="FF3095B4"/>
      </right>
      <top style="hair">
        <color rgb="FF3095B4"/>
      </top>
      <bottom/>
      <diagonal/>
    </border>
    <border diagonalUp="false" diagonalDown="false">
      <left style="medium">
        <color rgb="FF005172"/>
      </left>
      <right style="hair">
        <color rgb="FF3095B4"/>
      </right>
      <top/>
      <bottom style="hair">
        <color rgb="FF3095B4"/>
      </bottom>
      <diagonal/>
    </border>
    <border diagonalUp="false" diagonalDown="false">
      <left style="hair">
        <color rgb="FF3095B4"/>
      </left>
      <right style="medium">
        <color rgb="FF005172"/>
      </right>
      <top/>
      <bottom style="hair">
        <color rgb="FF3095B4"/>
      </bottom>
      <diagonal/>
    </border>
    <border diagonalUp="false" diagonalDown="false">
      <left style="medium">
        <color rgb="FF005172"/>
      </left>
      <right style="hair">
        <color rgb="FF3095B4"/>
      </right>
      <top style="hair">
        <color rgb="FF3095B4"/>
      </top>
      <bottom style="medium">
        <color rgb="FF005172"/>
      </bottom>
      <diagonal/>
    </border>
    <border diagonalUp="false" diagonalDown="false">
      <left style="hair">
        <color rgb="FF3095B4"/>
      </left>
      <right style="medium">
        <color rgb="FF005172"/>
      </right>
      <top style="hair">
        <color rgb="FF3095B4"/>
      </top>
      <bottom style="medium">
        <color rgb="FF005172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1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0" fillId="2" borderId="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2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5" fillId="0" borderId="0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7" fillId="3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8" fillId="0" borderId="7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2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1" xfId="19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1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8" fontId="23" fillId="2" borderId="0" xfId="19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23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9" fontId="23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10" fillId="2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10" fillId="2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8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1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1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9" fontId="10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11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4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1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7" fillId="0" borderId="17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9" fillId="3" borderId="1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7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2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7" fillId="0" borderId="21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28" fillId="5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2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3" borderId="2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9" fillId="0" borderId="24" xfId="2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26" fillId="4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2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0" fillId="0" borderId="27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0" borderId="0" xfId="0" applyFont="true" applyBorder="false" applyAlignment="true" applyProtection="true">
      <alignment horizontal="left" vertical="center" textRotation="0" wrapText="false" indent="0" shrinkToFit="false"/>
      <protection locked="false" hidden="true"/>
    </xf>
    <xf numFmtId="164" fontId="30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1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7" fillId="0" borderId="19" xfId="2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27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3" borderId="2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7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3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23" xfId="0" applyFont="true" applyBorder="true" applyAlignment="true" applyProtection="true">
      <alignment horizontal="left" vertical="bottom" textRotation="0" wrapText="true" indent="0" shrinkToFit="false"/>
      <protection locked="true" hidden="true"/>
    </xf>
    <xf numFmtId="164" fontId="27" fillId="0" borderId="29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false" hidden="true"/>
    </xf>
    <xf numFmtId="164" fontId="21" fillId="3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0" borderId="30" xfId="2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0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2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7" fillId="3" borderId="2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32" fillId="3" borderId="3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9" fillId="0" borderId="17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3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3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29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24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4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1" fillId="3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0" fillId="0" borderId="30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0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0" fillId="0" borderId="2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3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0" fillId="0" borderId="32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6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7" fontId="30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7" fontId="9" fillId="0" borderId="0" xfId="0" applyFont="true" applyBorder="false" applyAlignment="true" applyProtection="true">
      <alignment horizontal="left" vertical="center" textRotation="0" wrapText="false" indent="0" shrinkToFit="false"/>
      <protection locked="false" hidden="true"/>
    </xf>
    <xf numFmtId="170" fontId="30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70" fontId="30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0" fillId="0" borderId="19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30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5" borderId="2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0" borderId="33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3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7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0" borderId="3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0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32" fillId="0" borderId="3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3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2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8" fillId="3" borderId="1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7" fillId="3" borderId="3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7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9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7" fontId="32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71" fontId="28" fillId="0" borderId="32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71" fontId="28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71" fontId="28" fillId="0" borderId="2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0" fillId="0" borderId="11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8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3" borderId="32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38" fillId="0" borderId="0" xfId="0" applyFont="true" applyBorder="false" applyAlignment="true" applyProtection="true">
      <alignment horizontal="left" vertical="top" textRotation="0" wrapText="true" indent="0" shrinkToFit="false"/>
      <protection locked="true" hidden="true"/>
    </xf>
    <xf numFmtId="164" fontId="9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2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1" fontId="9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9" fillId="0" borderId="24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40" fillId="0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1" fillId="3" borderId="3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1" fillId="3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2" fillId="3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3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3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24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17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0" fillId="0" borderId="4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8" fillId="3" borderId="4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3" borderId="42" xfId="0" applyFont="true" applyBorder="true" applyAlignment="true" applyProtection="true">
      <alignment horizontal="left" vertical="top" textRotation="0" wrapText="true" indent="0" shrinkToFit="false"/>
      <protection locked="true" hidden="true"/>
    </xf>
    <xf numFmtId="164" fontId="34" fillId="3" borderId="4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44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6" fillId="0" borderId="45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34" fillId="3" borderId="4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true"/>
    </xf>
    <xf numFmtId="164" fontId="9" fillId="3" borderId="16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3" borderId="32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2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4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3" fillId="0" borderId="32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6" fillId="0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0" borderId="2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43" fillId="0" borderId="1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3" fillId="3" borderId="29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3" fillId="0" borderId="24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3" borderId="3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18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3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43" fillId="0" borderId="2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43" fillId="0" borderId="19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43" fillId="0" borderId="28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3" borderId="23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43" fillId="0" borderId="24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43" fillId="0" borderId="2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43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3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3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43" fillId="0" borderId="2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19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0" borderId="19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9" fillId="0" borderId="28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9" fillId="3" borderId="26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70" fontId="9" fillId="0" borderId="27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70" fontId="9" fillId="5" borderId="36" xfId="0" applyFont="true" applyBorder="true" applyAlignment="true" applyProtection="true">
      <alignment horizontal="center" vertical="top" textRotation="0" wrapText="false" indent="0" shrinkToFit="false"/>
      <protection locked="false" hidden="true"/>
    </xf>
    <xf numFmtId="164" fontId="9" fillId="0" borderId="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48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10" fillId="0" borderId="11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8" fillId="3" borderId="49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10" fillId="0" borderId="15" xfId="0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false" hidden="true"/>
    </xf>
    <xf numFmtId="164" fontId="9" fillId="3" borderId="50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44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72" fontId="9" fillId="0" borderId="44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3" borderId="51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3" borderId="5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53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1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9" fillId="3" borderId="54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55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3" borderId="5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57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3" borderId="5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59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60" xfId="0" applyFont="true" applyBorder="true" applyAlignment="true" applyProtection="true">
      <alignment horizontal="left" vertical="bottom" textRotation="0" wrapText="false" indent="0" shrinkToFit="false"/>
      <protection locked="false" hidden="true"/>
    </xf>
    <xf numFmtId="164" fontId="9" fillId="3" borderId="22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61" xfId="0" applyFont="true" applyBorder="true" applyAlignment="true" applyProtection="true">
      <alignment horizontal="left" vertical="center" textRotation="0" wrapText="false" indent="0" shrinkToFit="false"/>
      <protection locked="false" hidden="true"/>
    </xf>
    <xf numFmtId="164" fontId="38" fillId="3" borderId="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4" fillId="3" borderId="62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34" fillId="0" borderId="0" xfId="0" applyFont="true" applyBorder="false" applyAlignment="true" applyProtection="true">
      <alignment horizontal="center" vertical="top" textRotation="0" wrapText="true" indent="0" shrinkToFit="false"/>
      <protection locked="true" hidden="true"/>
    </xf>
    <xf numFmtId="173" fontId="9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3" fontId="9" fillId="3" borderId="19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3" fontId="9" fillId="0" borderId="28" xfId="19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0" borderId="19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34" fillId="3" borderId="29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9" fillId="0" borderId="24" xfId="19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4" fillId="3" borderId="0" xfId="0" applyFont="true" applyBorder="false" applyAlignment="true" applyProtection="true">
      <alignment horizontal="center" vertical="top" textRotation="0" wrapText="true" indent="0" shrinkToFit="false"/>
      <protection locked="true" hidden="true"/>
    </xf>
    <xf numFmtId="164" fontId="34" fillId="3" borderId="34" xfId="0" applyFont="true" applyBorder="true" applyAlignment="true" applyProtection="true">
      <alignment horizontal="center" vertical="top" textRotation="0" wrapText="true" indent="0" shrinkToFit="false"/>
      <protection locked="true" hidden="true"/>
    </xf>
    <xf numFmtId="164" fontId="46" fillId="0" borderId="1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8" fillId="3" borderId="1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19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3" borderId="17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26" fillId="0" borderId="28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6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19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3" borderId="6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16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47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3" borderId="18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47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9" fontId="47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7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4" fillId="0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3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8" fillId="0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48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1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0" borderId="1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2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24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65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2" borderId="66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49" fillId="3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3" borderId="6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9" fillId="3" borderId="32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8" fontId="9" fillId="0" borderId="0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3" borderId="50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3" borderId="6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9" fillId="3" borderId="28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3" borderId="52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8" fontId="9" fillId="3" borderId="29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2" borderId="6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4" fillId="2" borderId="7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50" fillId="2" borderId="71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34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9" fillId="0" borderId="17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8" fontId="9" fillId="3" borderId="19" xfId="19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28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9" fillId="3" borderId="2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6" fillId="3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6" fillId="3" borderId="1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9" fillId="0" borderId="24" xfId="19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9" fillId="3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26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26" fillId="3" borderId="6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3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26" fillId="3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46" fillId="0" borderId="1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6" fillId="4" borderId="72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5" fillId="3" borderId="73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1" fillId="3" borderId="74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9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6" fillId="3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1" fillId="3" borderId="75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4" fontId="17" fillId="0" borderId="7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52" fillId="0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4" borderId="7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8" fillId="3" borderId="7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37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38" fillId="3" borderId="19" xfId="0" applyFont="true" applyBorder="true" applyAlignment="true" applyProtection="true">
      <alignment horizontal="left" vertical="center" textRotation="0" wrapText="true" indent="0" shrinkToFit="false"/>
      <protection locked="false" hidden="true"/>
    </xf>
    <xf numFmtId="164" fontId="37" fillId="0" borderId="77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53" fillId="4" borderId="7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74" fontId="9" fillId="0" borderId="44" xfId="23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3" fillId="4" borderId="1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71" fontId="2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53" fillId="4" borderId="19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53" fillId="3" borderId="7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28" fillId="3" borderId="4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8" fillId="3" borderId="3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8" fillId="3" borderId="19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8" fillId="3" borderId="7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28" fillId="0" borderId="0" xfId="0" applyFont="true" applyBorder="false" applyAlignment="true" applyProtection="true">
      <alignment horizontal="left" vertical="center" textRotation="0" wrapText="false" indent="0" shrinkToFit="false"/>
      <protection locked="true" hidden="true"/>
    </xf>
    <xf numFmtId="164" fontId="38" fillId="3" borderId="7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5" fontId="4" fillId="0" borderId="44" xfId="22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8" fillId="3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5" fontId="4" fillId="0" borderId="80" xfId="22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4" fillId="0" borderId="0" xfId="22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3" fillId="4" borderId="7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53" fillId="4" borderId="38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28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4" fontId="38" fillId="3" borderId="19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4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7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3" borderId="8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3" borderId="74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38" fillId="0" borderId="17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38" fillId="0" borderId="82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10" fillId="4" borderId="7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1" fontId="9" fillId="0" borderId="77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5" fillId="3" borderId="78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1" fontId="9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9" fillId="0" borderId="7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7" fillId="3" borderId="83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1" fontId="9" fillId="0" borderId="8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1" fontId="9" fillId="0" borderId="8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86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8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3" borderId="8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3" borderId="8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4" borderId="72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40" fillId="0" borderId="89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90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44" xfId="23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9" fontId="34" fillId="0" borderId="44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4" fillId="0" borderId="91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92" xfId="23" applyFont="true" applyBorder="true" applyAlignment="true" applyProtection="true">
      <alignment horizontal="center" vertical="center" textRotation="0" wrapText="true" indent="0" shrinkToFit="false"/>
      <protection locked="false" hidden="true"/>
    </xf>
    <xf numFmtId="164" fontId="9" fillId="0" borderId="0" xfId="23" applyFont="true" applyBorder="false" applyAlignment="true" applyProtection="true">
      <alignment horizontal="general" vertical="center" textRotation="0" wrapText="false" indent="0" shrinkToFit="false"/>
      <protection locked="false" hidden="true"/>
    </xf>
    <xf numFmtId="164" fontId="4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4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4" borderId="90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6" fillId="4" borderId="44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3" borderId="90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9" fontId="34" fillId="0" borderId="44" xfId="23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7" fillId="3" borderId="44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0" fillId="4" borderId="90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10" fillId="4" borderId="44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74" fontId="34" fillId="0" borderId="44" xfId="23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4" fillId="4" borderId="90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4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0" borderId="5" xfId="23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4" fillId="0" borderId="0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3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0" xfId="23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5" borderId="76" xfId="23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9" fillId="0" borderId="5" xfId="23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9" fillId="0" borderId="0" xfId="23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64" fontId="37" fillId="5" borderId="81" xfId="23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7" fillId="3" borderId="93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9" fontId="34" fillId="0" borderId="94" xfId="23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4" borderId="90" xfId="23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71" fontId="9" fillId="0" borderId="80" xfId="23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4" fontId="34" fillId="0" borderId="80" xfId="23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7" fillId="3" borderId="95" xfId="23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74" fontId="34" fillId="0" borderId="96" xfId="23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4" fillId="3" borderId="8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44" fillId="3" borderId="88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3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13" xfId="0" applyFont="true" applyBorder="true" applyAlignment="true" applyProtection="true">
      <alignment horizontal="left" vertical="center" textRotation="0" wrapText="true" indent="0" shrinkToFit="false"/>
      <protection locked="true" hidden="true"/>
    </xf>
    <xf numFmtId="164" fontId="9" fillId="0" borderId="15" xfId="0" applyFont="true" applyBorder="true" applyAlignment="true" applyProtection="true">
      <alignment horizontal="left" vertical="top" textRotation="0" wrapText="false" indent="0" shrinkToFit="false"/>
      <protection locked="false" hidden="true"/>
    </xf>
    <xf numFmtId="164" fontId="10" fillId="2" borderId="8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1" fillId="0" borderId="8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87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4" fontId="9" fillId="0" borderId="8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9" fillId="0" borderId="8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1"/>
    <cellStyle name="Moneda 2" xfId="22"/>
    <cellStyle name="Normal 2" xfId="23"/>
    <cellStyle name="*unknown*" xfId="20" builtinId="8"/>
  </cellStyles>
  <dxfs count="30"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F2F2F2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25"/>
        </patternFill>
      </fill>
    </dxf>
    <dxf>
      <font>
        <color rgb="FFF2F2F2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ont>
        <color rgb="FFF2F2F2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color rgb="FFD9D9D9"/>
      </font>
      <fill>
        <patternFill>
          <bgColor theme="0" tint="-0.15"/>
        </patternFill>
      </fill>
    </dxf>
    <dxf>
      <font>
        <color rgb="FFD9D9D9"/>
      </font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ont>
        <color rgb="FFD9D9D9"/>
      </font>
      <fill>
        <patternFill>
          <bgColor theme="0" tint="-0.15"/>
        </patternFill>
      </fill>
      <border diagonalUp="false" diagonalDown="false">
        <left/>
        <right/>
        <top/>
        <bottom/>
        <diagonal/>
      </border>
    </dxf>
    <dxf>
      <fill>
        <patternFill>
          <bgColor theme="0" tint="-0.15"/>
        </patternFill>
      </fill>
    </dxf>
    <dxf>
      <font>
        <color rgb="FFF2F2F2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ont>
        <color rgb="FFF2F2F2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ont>
        <color rgb="FFFFFFFF"/>
      </font>
      <fill>
        <patternFill>
          <bgColor theme="0" tint="-0.05"/>
        </patternFill>
      </fill>
      <border diagonalUp="false" diagonalDown="false">
        <left/>
        <right/>
        <top/>
        <bottom/>
        <diagonal/>
      </border>
    </dxf>
    <dxf>
      <fill>
        <patternFill>
          <bgColor theme="0" tint="-0.25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B050"/>
      <rgbColor rgb="FFBFBFBF"/>
      <rgbColor rgb="FF808080"/>
      <rgbColor rgb="FF9999FF"/>
      <rgbColor rgb="FF595959"/>
      <rgbColor rgb="FFF2F2F2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767171"/>
      <rgbColor rgb="FFAFABAB"/>
      <rgbColor rgb="FF005172"/>
      <rgbColor rgb="FF3095B4"/>
      <rgbColor rgb="FF003300"/>
      <rgbColor rgb="FF262626"/>
      <rgbColor rgb="FF993300"/>
      <rgbColor rgb="FF993366"/>
      <rgbColor rgb="FF404040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openxmlformats.org/officeDocument/2006/relationships/chartUserShapes" Target="../drawings/drawing3.xml"/>
</Relationships>
</file>

<file path=xl/charts/_rels/chart2.xml.rels><?xml version="1.0" encoding="UTF-8"?>
<Relationships xmlns="http://schemas.openxmlformats.org/package/2006/relationships"><Relationship Id="rId1" Type="http://schemas.openxmlformats.org/officeDocument/2006/relationships/chartUserShapes" Target="../drawings/drawing4.xml"/>
</Relationships>
</file>

<file path=xl/charts/_rels/chart3.xml.rels><?xml version="1.0" encoding="UTF-8"?>
<Relationships xmlns="http://schemas.openxmlformats.org/package/2006/relationships"><Relationship Id="rId1" Type="http://schemas.openxmlformats.org/officeDocument/2006/relationships/chartUserShapes" Target="../drawings/drawing5.xml"/>
</Relationships>
</file>

<file path=xl/charts/_rels/chart4.xml.rels><?xml version="1.0" encoding="UTF-8"?>
<Relationships xmlns="http://schemas.openxmlformats.org/package/2006/relationships"><Relationship Id="rId1" Type="http://schemas.openxmlformats.org/officeDocument/2006/relationships/chartUserShapes" Target="../drawings/drawing6.xml"/>
</Relationships>
</file>

<file path=xl/charts/_rels/chart5.xml.rels><?xml version="1.0" encoding="UTF-8"?>
<Relationships xmlns="http://schemas.openxmlformats.org/package/2006/relationships"><Relationship Id="rId1" Type="http://schemas.openxmlformats.org/officeDocument/2006/relationships/chartUserShapes" Target="../drawings/drawing7.xml"/>
</Relationships>
</file>

<file path=xl/charts/_rels/chart6.xml.rels><?xml version="1.0" encoding="UTF-8"?>
<Relationships xmlns="http://schemas.openxmlformats.org/package/2006/relationships"><Relationship Id="rId1" Type="http://schemas.openxmlformats.org/officeDocument/2006/relationships/chartUserShapes" Target="../drawings/drawing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095b4"/>
              </a:solidFill>
              <a:ln w="92160">
                <a:solidFill>
                  <a:srgbClr val="3095b4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5076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'BIR FORM'!$D$16:$D$17</c:f>
              <c:strCache>
                <c:ptCount val="2"/>
                <c:pt idx="0">
                  <c:v>Progreso </c:v>
                </c:pt>
                <c:pt idx="1">
                  <c:v>Informacion restante </c:v>
                </c:pt>
              </c:strCache>
            </c:strRef>
          </c:cat>
          <c:val>
            <c:numRef>
              <c:f>'BIR FORM'!$E$16:$E$17</c:f>
              <c:numCache>
                <c:formatCode>0\ 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5172"/>
              </a:solidFill>
              <a:ln w="88920">
                <a:solidFill>
                  <a:srgbClr val="005172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5724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'BIR FORM'!$D$16:$D$17</c:f>
              <c:strCache>
                <c:ptCount val="2"/>
                <c:pt idx="0">
                  <c:v>Progreso </c:v>
                </c:pt>
                <c:pt idx="1">
                  <c:v>Informacion restante </c:v>
                </c:pt>
              </c:strCache>
            </c:strRef>
          </c:cat>
          <c:val>
            <c:numRef>
              <c:f>'BIR FORM'!$G$16:$G$17</c:f>
              <c:numCache>
                <c:formatCode>0\ 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2556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12600">
              <a:solidFill>
                <a:srgbClr val="3095b4"/>
              </a:solidFill>
              <a:round/>
            </a:ln>
          </c:spPr>
          <c:explosion val="0"/>
          <c:dPt>
            <c:idx val="0"/>
            <c:spPr>
              <a:solidFill>
                <a:srgbClr val="3095b4"/>
              </a:solidFill>
              <a:ln w="120600">
                <a:solidFill>
                  <a:srgbClr val="3095b4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7632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3095b4"/>
                  </a:solidFill>
                </a:ln>
              </c:spPr>
            </c:leaderLines>
          </c:dLbls>
          <c:cat>
            <c:strRef>
              <c:f>'BIR FORM'!$D$16:$D$17</c:f>
              <c:strCache>
                <c:ptCount val="2"/>
                <c:pt idx="0">
                  <c:v>Progreso </c:v>
                </c:pt>
                <c:pt idx="1">
                  <c:v>Informacion restante </c:v>
                </c:pt>
              </c:strCache>
            </c:strRef>
          </c:cat>
          <c:val>
            <c:numRef>
              <c:f>'BIR FORM'!$J$16:$J$17</c:f>
              <c:numCache>
                <c:formatCode>0\ 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005172"/>
              </a:solidFill>
              <a:ln w="114480">
                <a:solidFill>
                  <a:srgbClr val="005172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7920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'BIR FORM'!$D$16:$D$17</c:f>
              <c:strCache>
                <c:ptCount val="2"/>
                <c:pt idx="0">
                  <c:v>Progreso </c:v>
                </c:pt>
                <c:pt idx="1">
                  <c:v>Informacion restante </c:v>
                </c:pt>
              </c:strCache>
            </c:strRef>
          </c:cat>
          <c:val>
            <c:numRef>
              <c:f>'BIR FORM'!$O$16:$O$17</c:f>
              <c:numCache>
                <c:formatCode>0\ 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3095b4"/>
              </a:solidFill>
              <a:ln w="114480">
                <a:solidFill>
                  <a:srgbClr val="3095b4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8892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multiLvlStrRef>
              <c:f>'BIR FORM'!$D$16,'BIR FORM'!$D$17</c:f>
              <c:multiLvlStrCache>
                <c:ptCount val="1"/>
                <c:lvl>
                  <c:pt idx="0">
                    <c:v>Informacion restante </c:v>
                  </c:pt>
                </c:lvl>
                <c:lvl>
                  <c:pt idx="0">
                    <c:v>Progreso </c:v>
                  </c:pt>
                </c:lvl>
              </c:multiLvlStrCache>
            </c:multiLvlStrRef>
          </c:cat>
          <c:val>
            <c:numRef>
              <c:f>'BIR FORM'!$S$16,'BIR FORM'!$S$17</c:f>
              <c:numCache>
                <c:formatCode>0\ %</c:formatCode>
                <c:ptCount val="2"/>
                <c:pt idx="0">
                  <c:v>0.87037037037037</c:v>
                </c:pt>
                <c:pt idx="1">
                  <c:v>0.12962962962963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doughnutChart>
        <c:varyColors val="1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5172"/>
              </a:solidFill>
              <a:ln w="152280">
                <a:solidFill>
                  <a:srgbClr val="005172"/>
                </a:solidFill>
                <a:round/>
              </a:ln>
            </c:spPr>
          </c:dPt>
          <c:dPt>
            <c:idx val="1"/>
            <c:spPr>
              <a:solidFill>
                <a:srgbClr val="d9d9d9"/>
              </a:solidFill>
              <a:ln w="104760">
                <a:solidFill>
                  <a:srgbClr val="d9d9d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multiLvlStrRef>
              <c:f>'BIR FORM'!$D$16,'BIR FORM'!$D$17</c:f>
              <c:multiLvlStrCache>
                <c:ptCount val="1"/>
                <c:lvl>
                  <c:pt idx="0">
                    <c:v>Informacion restante </c:v>
                  </c:pt>
                </c:lvl>
                <c:lvl>
                  <c:pt idx="0">
                    <c:v>Progreso </c:v>
                  </c:pt>
                </c:lvl>
              </c:multiLvlStrCache>
            </c:multiLvlStrRef>
          </c:cat>
          <c:val>
            <c:numRef>
              <c:f>'BIR FORM'!$W$16,'BIR FORM'!$W$17</c:f>
              <c:numCache>
                <c:formatCode>0\ 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  <c:userShapes r:id="rId1"/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hyperlink" Target="#&apos;Type of Report&apos;.A1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e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chart" Target="../charts/chart1.xml"/><Relationship Id="rId8" Type="http://schemas.openxmlformats.org/officeDocument/2006/relationships/chart" Target="../charts/chart2.xml"/><Relationship Id="rId9" Type="http://schemas.openxmlformats.org/officeDocument/2006/relationships/chart" Target="../charts/chart3.xml"/><Relationship Id="rId10" Type="http://schemas.openxmlformats.org/officeDocument/2006/relationships/chart" Target="../charts/chart4.xml"/><Relationship Id="rId11" Type="http://schemas.openxmlformats.org/officeDocument/2006/relationships/chart" Target="../charts/chart5.xml"/><Relationship Id="rId12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53280</xdr:rowOff>
    </xdr:from>
    <xdr:to>
      <xdr:col>0</xdr:col>
      <xdr:colOff>1900440</xdr:colOff>
      <xdr:row>5</xdr:row>
      <xdr:rowOff>57960</xdr:rowOff>
    </xdr:to>
    <xdr:pic>
      <xdr:nvPicPr>
        <xdr:cNvPr id="1" name="Picture 11"/>
        <xdr:cNvPicPr/>
      </xdr:nvPicPr>
      <xdr:blipFill>
        <a:blip r:embed="rId1"/>
        <a:stretch/>
      </xdr:blipFill>
      <xdr:spPr>
        <a:xfrm>
          <a:off x="0" y="234360"/>
          <a:ext cx="1900440" cy="728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2</xdr:col>
      <xdr:colOff>542880</xdr:colOff>
      <xdr:row>5</xdr:row>
      <xdr:rowOff>53280</xdr:rowOff>
    </xdr:from>
    <xdr:to>
      <xdr:col>4</xdr:col>
      <xdr:colOff>694800</xdr:colOff>
      <xdr:row>6</xdr:row>
      <xdr:rowOff>110160</xdr:rowOff>
    </xdr:to>
    <xdr:sp>
      <xdr:nvSpPr>
        <xdr:cNvPr id="2" name="6 Rectángulo">
          <a:hlinkClick r:id="rId2"/>
        </xdr:cNvPr>
        <xdr:cNvSpPr/>
      </xdr:nvSpPr>
      <xdr:spPr>
        <a:xfrm>
          <a:off x="5477400" y="958320"/>
          <a:ext cx="1657080" cy="2376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667080</xdr:colOff>
      <xdr:row>303</xdr:row>
      <xdr:rowOff>455400</xdr:rowOff>
    </xdr:from>
    <xdr:to>
      <xdr:col>6</xdr:col>
      <xdr:colOff>560520</xdr:colOff>
      <xdr:row>310</xdr:row>
      <xdr:rowOff>217440</xdr:rowOff>
    </xdr:to>
    <xdr:pic>
      <xdr:nvPicPr>
        <xdr:cNvPr id="3" name="Picture 21"/>
        <xdr:cNvPicPr/>
      </xdr:nvPicPr>
      <xdr:blipFill>
        <a:blip r:embed="rId1"/>
        <a:stretch/>
      </xdr:blipFill>
      <xdr:spPr>
        <a:xfrm>
          <a:off x="2499840" y="111373920"/>
          <a:ext cx="4545360" cy="231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239400</xdr:colOff>
      <xdr:row>2</xdr:row>
      <xdr:rowOff>195840</xdr:rowOff>
    </xdr:from>
    <xdr:to>
      <xdr:col>21</xdr:col>
      <xdr:colOff>508680</xdr:colOff>
      <xdr:row>2</xdr:row>
      <xdr:rowOff>995760</xdr:rowOff>
    </xdr:to>
    <xdr:pic>
      <xdr:nvPicPr>
        <xdr:cNvPr id="4" name="Picture 9"/>
        <xdr:cNvPicPr/>
      </xdr:nvPicPr>
      <xdr:blipFill>
        <a:blip r:embed="rId2"/>
        <a:stretch/>
      </xdr:blipFill>
      <xdr:spPr>
        <a:xfrm>
          <a:off x="14461560" y="862560"/>
          <a:ext cx="210168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338400</xdr:colOff>
      <xdr:row>4</xdr:row>
      <xdr:rowOff>18720</xdr:rowOff>
    </xdr:from>
    <xdr:to>
      <xdr:col>27</xdr:col>
      <xdr:colOff>2520</xdr:colOff>
      <xdr:row>5</xdr:row>
      <xdr:rowOff>227520</xdr:rowOff>
    </xdr:to>
    <xdr:pic>
      <xdr:nvPicPr>
        <xdr:cNvPr id="5" name="Picture 11"/>
        <xdr:cNvPicPr/>
      </xdr:nvPicPr>
      <xdr:blipFill>
        <a:blip r:embed="rId3"/>
        <a:stretch/>
      </xdr:blipFill>
      <xdr:spPr>
        <a:xfrm>
          <a:off x="18225720" y="2266560"/>
          <a:ext cx="1496880" cy="542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59400</xdr:colOff>
      <xdr:row>445</xdr:row>
      <xdr:rowOff>327240</xdr:rowOff>
    </xdr:from>
    <xdr:to>
      <xdr:col>3</xdr:col>
      <xdr:colOff>1152360</xdr:colOff>
      <xdr:row>447</xdr:row>
      <xdr:rowOff>267480</xdr:rowOff>
    </xdr:to>
    <xdr:pic>
      <xdr:nvPicPr>
        <xdr:cNvPr id="6" name="Picture 13"/>
        <xdr:cNvPicPr/>
      </xdr:nvPicPr>
      <xdr:blipFill>
        <a:blip r:embed="rId4"/>
        <a:stretch/>
      </xdr:blipFill>
      <xdr:spPr>
        <a:xfrm>
          <a:off x="1281240" y="161861760"/>
          <a:ext cx="1703880" cy="606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155160</xdr:colOff>
      <xdr:row>285</xdr:row>
      <xdr:rowOff>16920</xdr:rowOff>
    </xdr:from>
    <xdr:to>
      <xdr:col>28</xdr:col>
      <xdr:colOff>210960</xdr:colOff>
      <xdr:row>293</xdr:row>
      <xdr:rowOff>138960</xdr:rowOff>
    </xdr:to>
    <xdr:pic>
      <xdr:nvPicPr>
        <xdr:cNvPr id="7" name="Picture 15"/>
        <xdr:cNvPicPr/>
      </xdr:nvPicPr>
      <xdr:blipFill>
        <a:blip r:embed="rId5"/>
        <a:stretch/>
      </xdr:blipFill>
      <xdr:spPr>
        <a:xfrm>
          <a:off x="15599160" y="103372560"/>
          <a:ext cx="4942440" cy="3531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183240</xdr:colOff>
      <xdr:row>376</xdr:row>
      <xdr:rowOff>165240</xdr:rowOff>
    </xdr:from>
    <xdr:to>
      <xdr:col>26</xdr:col>
      <xdr:colOff>322200</xdr:colOff>
      <xdr:row>386</xdr:row>
      <xdr:rowOff>276480</xdr:rowOff>
    </xdr:to>
    <xdr:pic>
      <xdr:nvPicPr>
        <xdr:cNvPr id="8" name="Picture 17"/>
        <xdr:cNvPicPr/>
      </xdr:nvPicPr>
      <xdr:blipFill>
        <a:blip r:embed="rId6"/>
        <a:stretch/>
      </xdr:blipFill>
      <xdr:spPr>
        <a:xfrm>
          <a:off x="14405400" y="138344400"/>
          <a:ext cx="5025960" cy="344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239400</xdr:colOff>
      <xdr:row>17</xdr:row>
      <xdr:rowOff>104400</xdr:rowOff>
    </xdr:from>
    <xdr:to>
      <xdr:col>3</xdr:col>
      <xdr:colOff>3156480</xdr:colOff>
      <xdr:row>24</xdr:row>
      <xdr:rowOff>298080</xdr:rowOff>
    </xdr:to>
    <xdr:graphicFrame>
      <xdr:nvGraphicFramePr>
        <xdr:cNvPr id="9" name="Chart 2"/>
        <xdr:cNvGraphicFramePr/>
      </xdr:nvGraphicFramePr>
      <xdr:xfrm>
        <a:off x="2072160" y="6762240"/>
        <a:ext cx="2917080" cy="232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</xdr:col>
      <xdr:colOff>3289320</xdr:colOff>
      <xdr:row>17</xdr:row>
      <xdr:rowOff>115560</xdr:rowOff>
    </xdr:from>
    <xdr:to>
      <xdr:col>7</xdr:col>
      <xdr:colOff>369720</xdr:colOff>
      <xdr:row>24</xdr:row>
      <xdr:rowOff>303120</xdr:rowOff>
    </xdr:to>
    <xdr:graphicFrame>
      <xdr:nvGraphicFramePr>
        <xdr:cNvPr id="11" name="Chart 12"/>
        <xdr:cNvGraphicFramePr/>
      </xdr:nvGraphicFramePr>
      <xdr:xfrm>
        <a:off x="5122080" y="6773400"/>
        <a:ext cx="2750040" cy="2321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7</xdr:col>
      <xdr:colOff>505440</xdr:colOff>
      <xdr:row>17</xdr:row>
      <xdr:rowOff>88560</xdr:rowOff>
    </xdr:from>
    <xdr:to>
      <xdr:col>12</xdr:col>
      <xdr:colOff>353520</xdr:colOff>
      <xdr:row>25</xdr:row>
      <xdr:rowOff>18720</xdr:rowOff>
    </xdr:to>
    <xdr:graphicFrame>
      <xdr:nvGraphicFramePr>
        <xdr:cNvPr id="13" name="Chart 4"/>
        <xdr:cNvGraphicFramePr/>
      </xdr:nvGraphicFramePr>
      <xdr:xfrm>
        <a:off x="8007840" y="6746400"/>
        <a:ext cx="2902680" cy="236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559800</xdr:colOff>
      <xdr:row>17</xdr:row>
      <xdr:rowOff>52560</xdr:rowOff>
    </xdr:from>
    <xdr:to>
      <xdr:col>17</xdr:col>
      <xdr:colOff>191160</xdr:colOff>
      <xdr:row>25</xdr:row>
      <xdr:rowOff>32040</xdr:rowOff>
    </xdr:to>
    <xdr:graphicFrame>
      <xdr:nvGraphicFramePr>
        <xdr:cNvPr id="15" name="Chart 5"/>
        <xdr:cNvGraphicFramePr/>
      </xdr:nvGraphicFramePr>
      <xdr:xfrm>
        <a:off x="11116800" y="6710400"/>
        <a:ext cx="2685600" cy="241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297000</xdr:colOff>
      <xdr:row>17</xdr:row>
      <xdr:rowOff>55080</xdr:rowOff>
    </xdr:from>
    <xdr:to>
      <xdr:col>22</xdr:col>
      <xdr:colOff>84960</xdr:colOff>
      <xdr:row>25</xdr:row>
      <xdr:rowOff>74160</xdr:rowOff>
    </xdr:to>
    <xdr:graphicFrame>
      <xdr:nvGraphicFramePr>
        <xdr:cNvPr id="17" name="Chart 6"/>
        <xdr:cNvGraphicFramePr/>
      </xdr:nvGraphicFramePr>
      <xdr:xfrm>
        <a:off x="13908240" y="6712920"/>
        <a:ext cx="2842200" cy="2457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22</xdr:col>
      <xdr:colOff>149760</xdr:colOff>
      <xdr:row>17</xdr:row>
      <xdr:rowOff>59760</xdr:rowOff>
    </xdr:from>
    <xdr:to>
      <xdr:col>26</xdr:col>
      <xdr:colOff>506520</xdr:colOff>
      <xdr:row>25</xdr:row>
      <xdr:rowOff>97200</xdr:rowOff>
    </xdr:to>
    <xdr:graphicFrame>
      <xdr:nvGraphicFramePr>
        <xdr:cNvPr id="19" name="Chart 7"/>
        <xdr:cNvGraphicFramePr/>
      </xdr:nvGraphicFramePr>
      <xdr:xfrm>
        <a:off x="16815240" y="6717600"/>
        <a:ext cx="2800440" cy="2476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0.309970384995064</cdr:x>
      <cdr:y>0.332199195793381</cdr:y>
    </cdr:from>
    <cdr:to>
      <cdr:x>0.665227048371175</cdr:x>
      <cdr:y>0.665790287658522</cdr:y>
    </cdr:to>
    <cdr:sp>
      <cdr:nvSpPr>
        <cdr:cNvPr id="10" name="TextBox 1"/>
        <cdr:cNvSpPr/>
      </cdr:nvSpPr>
      <cdr:spPr>
        <a:xfrm>
          <a:off x="904320" y="773280"/>
          <a:ext cx="1036440" cy="77652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3095b4"/>
              </a:solidFill>
              <a:effectLst/>
              <a:uFillTx/>
              <a:latin typeface="Open Sans"/>
              <a:ea typeface="Open Sans"/>
            </a:rPr>
            <a:t>0%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4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0.321596858638743</cdr:x>
      <cdr:y>0.338191967746938</cdr:y>
    </cdr:from>
    <cdr:to>
      <cdr:x>0.585732984293194</cdr:x>
      <cdr:y>0.67173205148085</cdr:y>
    </cdr:to>
    <cdr:sp>
      <cdr:nvSpPr>
        <cdr:cNvPr id="12" name="TextBox 1"/>
        <cdr:cNvSpPr/>
      </cdr:nvSpPr>
      <cdr:spPr>
        <a:xfrm>
          <a:off x="884520" y="785160"/>
          <a:ext cx="726480" cy="7743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005172"/>
              </a:solidFill>
              <a:effectLst/>
              <a:uFillTx/>
              <a:latin typeface="Open Sans"/>
              <a:ea typeface="Open Sans"/>
            </a:rPr>
            <a:t>0%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5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0.339037698412698</cdr:x>
      <cdr:y>0.36605379121714</cdr:y>
    </cdr:from>
    <cdr:to>
      <cdr:x>0.680431547619048</cdr:x>
      <cdr:y>0.699589728004863</cdr:y>
    </cdr:to>
    <cdr:sp>
      <cdr:nvSpPr>
        <cdr:cNvPr id="14" name="TextBox 1"/>
        <cdr:cNvSpPr/>
      </cdr:nvSpPr>
      <cdr:spPr>
        <a:xfrm>
          <a:off x="984240" y="867240"/>
          <a:ext cx="991080" cy="7902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3095b4"/>
              </a:solidFill>
              <a:effectLst/>
              <a:uFillTx/>
              <a:latin typeface="Calibri"/>
            </a:rPr>
            <a:t>0%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6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0.322342849483983</cdr:x>
      <cdr:y>0.345787436737124</cdr:y>
    </cdr:from>
    <cdr:to>
      <cdr:x>0.654067819327168</cdr:x>
      <cdr:y>0.716135754688896</cdr:y>
    </cdr:to>
    <cdr:sp>
      <cdr:nvSpPr>
        <cdr:cNvPr id="16" name="TextBox 1"/>
        <cdr:cNvSpPr/>
      </cdr:nvSpPr>
      <cdr:spPr>
        <a:xfrm>
          <a:off x="865800" y="836280"/>
          <a:ext cx="891000" cy="89568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005172"/>
              </a:solidFill>
              <a:effectLst/>
              <a:uFillTx/>
              <a:latin typeface="Open Sans"/>
              <a:ea typeface="Open Sans"/>
            </a:rPr>
            <a:t>95%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7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0.345618034447822</cdr:x>
      <cdr:y>0.350761570005858</cdr:y>
    </cdr:from>
    <cdr:to>
      <cdr:x>0.66628672745694</cdr:x>
      <cdr:y>0.728763913298184</cdr:y>
    </cdr:to>
    <cdr:sp>
      <cdr:nvSpPr>
        <cdr:cNvPr id="18" name="TextBox 1"/>
        <cdr:cNvSpPr/>
      </cdr:nvSpPr>
      <cdr:spPr>
        <a:xfrm>
          <a:off x="982440" y="862200"/>
          <a:ext cx="911520" cy="92916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3095b4"/>
              </a:solidFill>
              <a:effectLst/>
              <a:uFillTx/>
              <a:latin typeface="Calibri"/>
            </a:rPr>
            <a:t>0%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drawings/drawing8.xml><?xml version="1.0" encoding="utf-8"?>
<c:userShapes xmlns:cdr="http://schemas.openxmlformats.org/drawingml/2006/chartDrawing" xmlns:a="http://schemas.openxmlformats.org/drawingml/2006/main" xmlns:c="http://schemas.openxmlformats.org/drawingml/2006/chart" xmlns:r="http://schemas.openxmlformats.org/officeDocument/2006/relationships">
  <cdr:relSizeAnchor>
    <cdr:from>
      <cdr:x>0.344601542416452</cdr:x>
      <cdr:y>0.32998982410234</cdr:y>
    </cdr:from>
    <cdr:to>
      <cdr:x>0.670694087403599</cdr:x>
      <cdr:y>0.705771187672627</cdr:y>
    </cdr:to>
    <cdr:sp>
      <cdr:nvSpPr>
        <cdr:cNvPr id="20" name="TextBox 1"/>
        <cdr:cNvSpPr/>
      </cdr:nvSpPr>
      <cdr:spPr>
        <a:xfrm>
          <a:off x="965160" y="817200"/>
          <a:ext cx="913320" cy="930600"/>
        </a:xfrm>
        <a:prstGeom prst="rect">
          <a:avLst/>
        </a:prstGeom>
        <a:noFill/>
        <a:ln w="0">
          <a:noFill/>
        </a:ln>
      </cdr:spPr>
      <cdr:style>
        <a:lnRef idx="0"/>
        <a:fillRef idx="0"/>
        <a:effectRef idx="0"/>
        <a:fontRef idx="minor"/>
      </cdr:style>
      <cdr:txBody>
        <a:bodyPr wrap="none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en-US" sz="3600" b="1" u="none" strike="noStrike">
              <a:solidFill>
                <a:srgbClr val="005172"/>
              </a:solidFill>
              <a:effectLst/>
              <a:uFillTx/>
              <a:latin typeface="Open Sans"/>
              <a:ea typeface="Open Sans"/>
            </a:rPr>
            <a:t>0%</a:t>
          </a:r>
          <a:endParaRPr sz="3600" b="0" u="none" strike="noStrike">
            <a:effectLst/>
            <a:uFillTx/>
            <a:latin typeface="Times New Roman"/>
          </a:endParaRPr>
        </a:p>
      </cdr:txBody>
    </cdr:sp>
  </cdr:relSizeAnchor>
</c:userShape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cialdnb.com/es/quienes-somos/" TargetMode="External"/><Relationship Id="rId2" Type="http://schemas.openxmlformats.org/officeDocument/2006/relationships/hyperlink" Target="https://www.cialdnb.com/es/numero-d-u-n-s/" TargetMode="External"/><Relationship Id="rId3" Type="http://schemas.openxmlformats.org/officeDocument/2006/relationships/hyperlink" Target="https://www.cialdnb.com/es/politica-de-privacidad/" TargetMode="External"/><Relationship Id="rId4" Type="http://schemas.openxmlformats.org/officeDocument/2006/relationships/hyperlink" Target="mailto:info@bioenlace.io" TargetMode="External"/><Relationship Id="rId5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I42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E29" activeCellId="1" sqref="E32:AA34 E29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59.33"/>
  </cols>
  <sheetData>
    <row r="7" customFormat="false" ht="14.25" hidden="false" customHeight="false" outlineLevel="0" collapsed="false">
      <c r="B7" s="1" t="s">
        <v>0</v>
      </c>
      <c r="C7" s="1"/>
      <c r="D7" s="1"/>
    </row>
    <row r="8" customFormat="false" ht="14.25" hidden="false" customHeight="false" outlineLevel="0" collapsed="false">
      <c r="B8" s="2" t="n">
        <f aca="true">TODAY()</f>
        <v>46255</v>
      </c>
      <c r="C8" s="2"/>
      <c r="D8" s="2"/>
    </row>
    <row r="9" customFormat="false" ht="14.25" hidden="false" customHeight="false" outlineLevel="0" collapsed="false">
      <c r="A9" s="3"/>
      <c r="B9" s="4"/>
      <c r="C9" s="5"/>
      <c r="D9" s="5"/>
      <c r="E9" s="6"/>
      <c r="F9" s="6"/>
      <c r="G9" s="6"/>
      <c r="H9" s="6"/>
    </row>
    <row r="10" customFormat="false" ht="14.25" hidden="false" customHeight="false" outlineLevel="0" collapsed="false">
      <c r="A10" s="7"/>
    </row>
    <row r="11" customFormat="false" ht="14.25" hidden="false" customHeight="false" outlineLevel="0" collapsed="false">
      <c r="A11" s="8" t="s">
        <v>1</v>
      </c>
      <c r="B11" s="8"/>
      <c r="C11" s="8"/>
      <c r="D11" s="8"/>
      <c r="E11" s="8"/>
      <c r="F11" s="8"/>
      <c r="G11" s="8"/>
      <c r="H11" s="8"/>
    </row>
    <row r="12" customFormat="false" ht="14.25" hidden="false" customHeight="false" outlineLevel="0" collapsed="false">
      <c r="A12" s="7"/>
    </row>
    <row r="13" customFormat="false" ht="14.25" hidden="false" customHeight="true" outlineLevel="0" collapsed="false">
      <c r="A13" s="9" t="s">
        <v>2</v>
      </c>
      <c r="B13" s="9"/>
      <c r="C13" s="9"/>
      <c r="D13" s="9"/>
      <c r="E13" s="9"/>
      <c r="F13" s="9"/>
      <c r="G13" s="9"/>
      <c r="H13" s="9"/>
    </row>
    <row r="14" customFormat="false" ht="14.25" hidden="false" customHeight="true" outlineLevel="0" collapsed="false">
      <c r="A14" s="9" t="s">
        <v>3</v>
      </c>
      <c r="B14" s="9"/>
      <c r="C14" s="9"/>
      <c r="D14" s="9"/>
      <c r="E14" s="9"/>
      <c r="F14" s="9"/>
      <c r="G14" s="9"/>
      <c r="H14" s="9"/>
    </row>
    <row r="16" customFormat="false" ht="14.25" hidden="false" customHeight="false" outlineLevel="0" collapsed="false">
      <c r="A16" s="0" t="s">
        <v>4</v>
      </c>
    </row>
    <row r="17" customFormat="false" ht="14.25" hidden="false" customHeight="false" outlineLevel="0" collapsed="false">
      <c r="A17" s="0" t="s">
        <v>5</v>
      </c>
    </row>
    <row r="18" customFormat="false" ht="14.25" hidden="false" customHeight="false" outlineLevel="0" collapsed="false">
      <c r="A18" s="0" t="s">
        <v>6</v>
      </c>
    </row>
    <row r="19" customFormat="false" ht="14.25" hidden="false" customHeight="false" outlineLevel="0" collapsed="false">
      <c r="A19" s="0" t="s">
        <v>7</v>
      </c>
    </row>
    <row r="20" customFormat="false" ht="14.25" hidden="false" customHeight="false" outlineLevel="0" collapsed="false">
      <c r="A20" s="0" t="s">
        <v>8</v>
      </c>
    </row>
    <row r="21" customFormat="false" ht="14.25" hidden="false" customHeight="false" outlineLevel="0" collapsed="false">
      <c r="A21" s="0" t="s">
        <v>9</v>
      </c>
    </row>
    <row r="22" customFormat="false" ht="14.25" hidden="false" customHeight="false" outlineLevel="0" collapsed="false">
      <c r="A22" s="0" t="s">
        <v>10</v>
      </c>
    </row>
    <row r="23" customFormat="false" ht="14.25" hidden="false" customHeight="false" outlineLevel="0" collapsed="false">
      <c r="A23" s="0" t="s">
        <v>11</v>
      </c>
    </row>
    <row r="24" customFormat="false" ht="14.25" hidden="false" customHeight="false" outlineLevel="0" collapsed="false">
      <c r="A24" s="0" t="s">
        <v>12</v>
      </c>
    </row>
    <row r="25" customFormat="false" ht="14.25" hidden="false" customHeight="false" outlineLevel="0" collapsed="false">
      <c r="A25" s="0" t="s">
        <v>13</v>
      </c>
    </row>
    <row r="26" customFormat="false" ht="14.25" hidden="false" customHeight="false" outlineLevel="0" collapsed="false">
      <c r="A26" s="0" t="s">
        <v>14</v>
      </c>
    </row>
    <row r="27" customFormat="false" ht="14.25" hidden="false" customHeight="false" outlineLevel="0" collapsed="false">
      <c r="A27" s="0" t="s">
        <v>15</v>
      </c>
    </row>
    <row r="28" customFormat="false" ht="14.25" hidden="false" customHeight="false" outlineLevel="0" collapsed="false">
      <c r="A28" s="0" t="s">
        <v>16</v>
      </c>
    </row>
    <row r="29" customFormat="false" ht="14.25" hidden="false" customHeight="false" outlineLevel="0" collapsed="false">
      <c r="A29" s="0" t="s">
        <v>17</v>
      </c>
    </row>
    <row r="30" customFormat="false" ht="14.25" hidden="false" customHeight="false" outlineLevel="0" collapsed="false">
      <c r="A30" s="0" t="s">
        <v>18</v>
      </c>
    </row>
    <row r="31" customFormat="false" ht="14.25" hidden="false" customHeight="false" outlineLevel="0" collapsed="false">
      <c r="A31" s="0" t="s">
        <v>19</v>
      </c>
    </row>
    <row r="32" customFormat="false" ht="14.25" hidden="false" customHeight="false" outlineLevel="0" collapsed="false">
      <c r="A32" s="0" t="s">
        <v>20</v>
      </c>
    </row>
    <row r="33" customFormat="false" ht="14.25" hidden="false" customHeight="false" outlineLevel="0" collapsed="false">
      <c r="A33" s="10" t="s">
        <v>21</v>
      </c>
    </row>
    <row r="34" customFormat="false" ht="14.25" hidden="false" customHeight="false" outlineLevel="0" collapsed="false">
      <c r="A34" s="0" t="s">
        <v>22</v>
      </c>
    </row>
    <row r="35" customFormat="false" ht="14.25" hidden="false" customHeight="false" outlineLevel="0" collapsed="false">
      <c r="A35" s="0" t="s">
        <v>23</v>
      </c>
    </row>
    <row r="36" customFormat="false" ht="14.25" hidden="false" customHeight="false" outlineLevel="0" collapsed="false">
      <c r="A36" s="0" t="s">
        <v>24</v>
      </c>
    </row>
    <row r="37" customFormat="false" ht="14.25" hidden="false" customHeight="false" outlineLevel="0" collapsed="false">
      <c r="A37" s="0" t="s">
        <v>25</v>
      </c>
    </row>
    <row r="38" customFormat="false" ht="14.25" hidden="false" customHeight="false" outlineLevel="0" collapsed="false">
      <c r="A38" s="0" t="s">
        <v>26</v>
      </c>
      <c r="C38" s="11"/>
    </row>
    <row r="39" customFormat="false" ht="14.25" hidden="false" customHeight="false" outlineLevel="0" collapsed="false">
      <c r="A39" s="9"/>
      <c r="B39" s="12"/>
    </row>
    <row r="40" customFormat="false" ht="35.05" hidden="false" customHeight="false" outlineLevel="0" collapsed="false">
      <c r="A40" s="13" t="s">
        <v>27</v>
      </c>
      <c r="B40" s="12"/>
    </row>
    <row r="41" customFormat="false" ht="14.25" hidden="false" customHeight="false" outlineLevel="0" collapsed="false">
      <c r="A41" s="9"/>
      <c r="B41" s="12"/>
    </row>
    <row r="42" customFormat="false" ht="14.25" hidden="false" customHeight="true" outlineLevel="0" collapsed="false">
      <c r="A42" s="14" t="s">
        <v>28</v>
      </c>
      <c r="B42" s="14"/>
      <c r="C42" s="14"/>
      <c r="D42" s="14"/>
      <c r="E42" s="14"/>
      <c r="F42" s="14"/>
      <c r="G42" s="14"/>
      <c r="H42" s="14"/>
      <c r="I42" s="14"/>
    </row>
  </sheetData>
  <mergeCells count="7">
    <mergeCell ref="B7:D7"/>
    <mergeCell ref="B8:D8"/>
    <mergeCell ref="C9:D9"/>
    <mergeCell ref="E9:F9"/>
    <mergeCell ref="G9:H9"/>
    <mergeCell ref="A11:H11"/>
    <mergeCell ref="A42:I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48"/>
  <sheetViews>
    <sheetView showFormulas="false" showGridLines="false" showRowColHeaders="true" showZeros="true" rightToLeft="false" tabSelected="true" showOutlineSymbols="true" defaultGridColor="true" view="normal" topLeftCell="B439" colorId="64" zoomScale="70" zoomScaleNormal="70" zoomScalePageLayoutView="100" workbookViewId="0">
      <selection pane="topLeft" activeCell="E34" activeCellId="0" sqref="E32:AA34"/>
    </sheetView>
  </sheetViews>
  <sheetFormatPr defaultColWidth="8.66796875" defaultRowHeight="26.25" customHeight="false" zeroHeight="false" outlineLevelRow="0" outlineLevelCol="0"/>
  <cols>
    <col collapsed="false" customWidth="false" hidden="false" outlineLevel="0" max="1" min="1" style="15" width="8.67"/>
    <col collapsed="false" customWidth="false" hidden="false" outlineLevel="0" max="2" min="2" style="16" width="8.67"/>
    <col collapsed="false" customWidth="false" hidden="false" outlineLevel="0" max="3" min="3" style="17" width="8.67"/>
    <col collapsed="false" customWidth="true" hidden="false" outlineLevel="0" max="4" min="4" style="18" width="48.67"/>
    <col collapsed="false" customWidth="false" hidden="false" outlineLevel="0" max="6" min="5" style="15" width="8.67"/>
    <col collapsed="false" customWidth="true" hidden="false" outlineLevel="0" max="7" min="7" style="15" width="14.44"/>
    <col collapsed="false" customWidth="false" hidden="false" outlineLevel="0" max="16384" min="8" style="15" width="8.67"/>
  </cols>
  <sheetData>
    <row r="1" customFormat="false" ht="26.25" hidden="false" customHeight="false" outlineLevel="0" collapsed="false">
      <c r="D1" s="15"/>
      <c r="E1" s="18"/>
    </row>
    <row r="2" customFormat="false" ht="26.25" hidden="false" customHeight="false" outlineLevel="0" collapsed="false">
      <c r="B2" s="19"/>
      <c r="C2" s="20"/>
      <c r="D2" s="21"/>
      <c r="E2" s="22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3"/>
    </row>
    <row r="3" customFormat="false" ht="79.5" hidden="false" customHeight="true" outlineLevel="0" collapsed="false">
      <c r="B3" s="24"/>
      <c r="D3" s="25" t="s">
        <v>29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6"/>
      <c r="AC3" s="27"/>
    </row>
    <row r="4" customFormat="false" ht="45" hidden="false" customHeight="true" outlineLevel="0" collapsed="false">
      <c r="B4" s="24"/>
      <c r="D4" s="28" t="s">
        <v>30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AC4" s="27"/>
    </row>
    <row r="5" customFormat="false" ht="26.25" hidden="false" customHeight="false" outlineLevel="0" collapsed="false">
      <c r="B5" s="24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AC5" s="27"/>
    </row>
    <row r="6" customFormat="false" ht="24" hidden="false" customHeight="true" outlineLevel="0" collapsed="false">
      <c r="B6" s="24"/>
      <c r="D6" s="30" t="s">
        <v>31</v>
      </c>
      <c r="E6" s="31" t="s">
        <v>32</v>
      </c>
      <c r="F6" s="31"/>
      <c r="G6" s="31"/>
      <c r="H6" s="32" t="s">
        <v>33</v>
      </c>
      <c r="I6" s="32"/>
      <c r="J6" s="32"/>
      <c r="K6" s="33"/>
      <c r="L6" s="29"/>
      <c r="M6" s="29"/>
      <c r="N6" s="29"/>
      <c r="O6" s="29"/>
      <c r="P6" s="29"/>
      <c r="Q6" s="29"/>
      <c r="AC6" s="27"/>
    </row>
    <row r="7" customFormat="false" ht="24" hidden="false" customHeight="true" outlineLevel="0" collapsed="false">
      <c r="B7" s="24"/>
      <c r="D7" s="30"/>
      <c r="E7" s="31"/>
      <c r="F7" s="31"/>
      <c r="G7" s="31"/>
      <c r="H7" s="32"/>
      <c r="I7" s="32"/>
      <c r="J7" s="32"/>
      <c r="K7" s="33"/>
      <c r="L7" s="29"/>
      <c r="M7" s="29"/>
      <c r="N7" s="29"/>
      <c r="O7" s="29"/>
      <c r="P7" s="29"/>
      <c r="Q7" s="29"/>
      <c r="AC7" s="27"/>
    </row>
    <row r="8" customFormat="false" ht="33" hidden="false" customHeight="true" outlineLevel="0" collapsed="false">
      <c r="B8" s="24"/>
      <c r="D8" s="34" t="s">
        <v>34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C8" s="27"/>
    </row>
    <row r="9" customFormat="false" ht="24" hidden="false" customHeight="true" outlineLevel="0" collapsed="false">
      <c r="B9" s="24"/>
      <c r="D9" s="35" t="s">
        <v>35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C9" s="27"/>
    </row>
    <row r="10" customFormat="false" ht="24" hidden="false" customHeight="true" outlineLevel="0" collapsed="false">
      <c r="A10" s="36"/>
      <c r="B10" s="24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C10" s="27"/>
    </row>
    <row r="11" customFormat="false" ht="24" hidden="false" customHeight="true" outlineLevel="0" collapsed="false">
      <c r="B11" s="24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C11" s="27"/>
    </row>
    <row r="12" customFormat="false" ht="24" hidden="false" customHeight="true" outlineLevel="0" collapsed="false">
      <c r="B12" s="24"/>
      <c r="D12" s="30"/>
      <c r="E12" s="31"/>
      <c r="F12" s="31"/>
      <c r="G12" s="31"/>
      <c r="H12" s="32"/>
      <c r="I12" s="32"/>
      <c r="J12" s="32"/>
      <c r="K12" s="33"/>
      <c r="L12" s="29"/>
      <c r="M12" s="29"/>
      <c r="N12" s="29"/>
      <c r="O12" s="29"/>
      <c r="P12" s="29"/>
      <c r="Q12" s="29"/>
      <c r="AC12" s="27"/>
    </row>
    <row r="13" customFormat="false" ht="45.75" hidden="false" customHeight="true" outlineLevel="0" collapsed="false">
      <c r="B13" s="24"/>
      <c r="D13" s="34" t="s">
        <v>36</v>
      </c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7"/>
      <c r="AC13" s="27"/>
    </row>
    <row r="14" customFormat="false" ht="24" hidden="false" customHeight="true" outlineLevel="0" collapsed="false">
      <c r="B14" s="24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40"/>
      <c r="AB14" s="41"/>
      <c r="AC14" s="27"/>
    </row>
    <row r="15" customFormat="false" ht="24" hidden="false" customHeight="true" outlineLevel="0" collapsed="false">
      <c r="B15" s="24"/>
      <c r="D15" s="42" t="s">
        <v>37</v>
      </c>
      <c r="E15" s="43" t="s">
        <v>38</v>
      </c>
      <c r="F15" s="43"/>
      <c r="G15" s="43"/>
      <c r="H15" s="43"/>
      <c r="I15" s="43" t="s">
        <v>39</v>
      </c>
      <c r="J15" s="43"/>
      <c r="K15" s="43"/>
      <c r="L15" s="43"/>
      <c r="M15" s="43"/>
      <c r="N15" s="43" t="s">
        <v>40</v>
      </c>
      <c r="O15" s="43"/>
      <c r="P15" s="43"/>
      <c r="Q15" s="43"/>
      <c r="R15" s="43" t="s">
        <v>41</v>
      </c>
      <c r="S15" s="43"/>
      <c r="T15" s="43"/>
      <c r="U15" s="43"/>
      <c r="V15" s="43"/>
      <c r="W15" s="44" t="s">
        <v>42</v>
      </c>
      <c r="X15" s="44"/>
      <c r="Y15" s="44"/>
      <c r="Z15" s="44"/>
      <c r="AA15" s="44"/>
      <c r="AB15" s="45"/>
      <c r="AC15" s="27"/>
    </row>
    <row r="16" customFormat="false" ht="26.25" hidden="false" customHeight="false" outlineLevel="0" collapsed="false">
      <c r="B16" s="24"/>
      <c r="D16" s="46" t="s">
        <v>43</v>
      </c>
      <c r="E16" s="47" t="n">
        <f aca="false">B31</f>
        <v>1</v>
      </c>
      <c r="F16" s="48" t="s">
        <v>43</v>
      </c>
      <c r="G16" s="49" t="n">
        <f aca="false">IF(SUM(B44:B49)&lt;1,0,B43)</f>
        <v>1</v>
      </c>
      <c r="H16" s="50"/>
      <c r="I16" s="51"/>
      <c r="J16" s="49" t="n">
        <f aca="false">IF(SUM(B103:B104)&lt;1,0,B101)</f>
        <v>1</v>
      </c>
      <c r="K16" s="51"/>
      <c r="L16" s="50"/>
      <c r="M16" s="50"/>
      <c r="N16" s="50"/>
      <c r="O16" s="49" t="n">
        <f aca="false">IF(SUM(B162,B163,B166,B169)&lt; 2,0,B161)</f>
        <v>1</v>
      </c>
      <c r="P16" s="51"/>
      <c r="Q16" s="51"/>
      <c r="R16" s="51"/>
      <c r="S16" s="49" t="n">
        <f aca="false">IF(SUM(B230:B336)&lt;=14,0,B229)</f>
        <v>0.87037037037037</v>
      </c>
      <c r="T16" s="51"/>
      <c r="U16" s="51"/>
      <c r="V16" s="51"/>
      <c r="W16" s="49" t="n">
        <f aca="false">B338</f>
        <v>0</v>
      </c>
      <c r="X16" s="51"/>
      <c r="Y16" s="51"/>
      <c r="Z16" s="51"/>
      <c r="AA16" s="52"/>
      <c r="AB16" s="41"/>
      <c r="AC16" s="27"/>
    </row>
    <row r="17" customFormat="false" ht="24" hidden="false" customHeight="true" outlineLevel="0" collapsed="false">
      <c r="B17" s="24"/>
      <c r="D17" s="53" t="s">
        <v>44</v>
      </c>
      <c r="E17" s="47" t="n">
        <f aca="false">1-E16</f>
        <v>0</v>
      </c>
      <c r="F17" s="54" t="s">
        <v>44</v>
      </c>
      <c r="G17" s="49" t="n">
        <f aca="false">1-G16</f>
        <v>0</v>
      </c>
      <c r="H17" s="55"/>
      <c r="I17" s="55"/>
      <c r="J17" s="56" t="n">
        <f aca="false">1-J16</f>
        <v>0</v>
      </c>
      <c r="K17" s="50"/>
      <c r="L17" s="50"/>
      <c r="M17" s="50"/>
      <c r="N17" s="50"/>
      <c r="O17" s="57" t="n">
        <f aca="false">1-O16</f>
        <v>0</v>
      </c>
      <c r="P17" s="58"/>
      <c r="Q17" s="58"/>
      <c r="R17" s="58"/>
      <c r="S17" s="57" t="n">
        <f aca="false">1-S16</f>
        <v>0.12962962962963</v>
      </c>
      <c r="T17" s="58"/>
      <c r="U17" s="58"/>
      <c r="V17" s="58"/>
      <c r="W17" s="57" t="n">
        <f aca="false">1-W16</f>
        <v>1</v>
      </c>
      <c r="X17" s="58"/>
      <c r="Y17" s="58"/>
      <c r="Z17" s="58"/>
      <c r="AA17" s="52"/>
      <c r="AB17" s="41"/>
      <c r="AC17" s="27"/>
    </row>
    <row r="18" customFormat="false" ht="24" hidden="false" customHeight="true" outlineLevel="0" collapsed="false">
      <c r="B18" s="24"/>
      <c r="D18" s="59"/>
      <c r="E18" s="50"/>
      <c r="F18" s="55"/>
      <c r="G18" s="55"/>
      <c r="H18" s="55"/>
      <c r="I18" s="55"/>
      <c r="J18" s="60"/>
      <c r="K18" s="50"/>
      <c r="L18" s="50"/>
      <c r="M18" s="50"/>
      <c r="N18" s="50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2"/>
      <c r="AB18" s="41"/>
      <c r="AC18" s="27"/>
    </row>
    <row r="19" customFormat="false" ht="24" hidden="false" customHeight="true" outlineLevel="0" collapsed="false">
      <c r="B19" s="24"/>
      <c r="D19" s="61"/>
      <c r="F19" s="62"/>
      <c r="G19" s="62"/>
      <c r="H19" s="62"/>
      <c r="I19" s="62"/>
      <c r="J19" s="63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52"/>
      <c r="AB19" s="41"/>
      <c r="AC19" s="27"/>
    </row>
    <row r="20" customFormat="false" ht="24" hidden="false" customHeight="true" outlineLevel="0" collapsed="false">
      <c r="B20" s="24"/>
      <c r="D20" s="61"/>
      <c r="F20" s="62"/>
      <c r="G20" s="62"/>
      <c r="H20" s="62"/>
      <c r="I20" s="62"/>
      <c r="J20" s="63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52"/>
      <c r="AB20" s="41"/>
      <c r="AC20" s="27"/>
    </row>
    <row r="21" customFormat="false" ht="24" hidden="false" customHeight="true" outlineLevel="0" collapsed="false">
      <c r="B21" s="24"/>
      <c r="D21" s="64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52"/>
      <c r="AB21" s="41"/>
      <c r="AC21" s="27"/>
    </row>
    <row r="22" customFormat="false" ht="24" hidden="false" customHeight="true" outlineLevel="0" collapsed="false">
      <c r="B22" s="24"/>
      <c r="D22" s="64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52"/>
      <c r="AB22" s="41"/>
      <c r="AC22" s="27"/>
    </row>
    <row r="23" customFormat="false" ht="24" hidden="false" customHeight="true" outlineLevel="0" collapsed="false">
      <c r="B23" s="24"/>
      <c r="D23" s="64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52"/>
      <c r="AB23" s="41"/>
      <c r="AC23" s="27"/>
    </row>
    <row r="24" customFormat="false" ht="24" hidden="false" customHeight="true" outlineLevel="0" collapsed="false">
      <c r="B24" s="24"/>
      <c r="D24" s="64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52"/>
      <c r="AB24" s="41"/>
      <c r="AC24" s="27"/>
    </row>
    <row r="25" customFormat="false" ht="24" hidden="false" customHeight="true" outlineLevel="0" collapsed="false">
      <c r="B25" s="24"/>
      <c r="D25" s="64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52"/>
      <c r="AB25" s="41"/>
      <c r="AC25" s="27"/>
    </row>
    <row r="26" customFormat="false" ht="24" hidden="false" customHeight="true" outlineLevel="0" collapsed="false">
      <c r="B26" s="24"/>
      <c r="D26" s="64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52"/>
      <c r="AB26" s="41"/>
      <c r="AC26" s="27"/>
    </row>
    <row r="27" customFormat="false" ht="24" hidden="false" customHeight="true" outlineLevel="0" collapsed="false">
      <c r="B27" s="24"/>
      <c r="D27" s="64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52"/>
      <c r="AB27" s="41"/>
      <c r="AC27" s="27"/>
    </row>
    <row r="28" customFormat="false" ht="24" hidden="false" customHeight="true" outlineLevel="0" collapsed="false">
      <c r="B28" s="24"/>
      <c r="D28" s="65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7"/>
      <c r="AB28" s="41"/>
      <c r="AC28" s="27"/>
    </row>
    <row r="29" customFormat="false" ht="24" hidden="false" customHeight="true" outlineLevel="0" collapsed="false">
      <c r="B29" s="24"/>
      <c r="D29" s="30"/>
      <c r="E29" s="31"/>
      <c r="F29" s="31"/>
      <c r="G29" s="31"/>
      <c r="H29" s="32"/>
      <c r="I29" s="32"/>
      <c r="J29" s="32"/>
      <c r="K29" s="33"/>
      <c r="L29" s="29"/>
      <c r="M29" s="29"/>
      <c r="N29" s="29"/>
      <c r="O29" s="29"/>
      <c r="P29" s="29"/>
      <c r="Q29" s="29"/>
      <c r="AC29" s="27"/>
    </row>
    <row r="30" customFormat="false" ht="26.25" hidden="false" customHeight="false" outlineLevel="0" collapsed="false">
      <c r="B30" s="24"/>
      <c r="AC30" s="27"/>
    </row>
    <row r="31" customFormat="false" ht="39" hidden="false" customHeight="true" outlineLevel="0" collapsed="false">
      <c r="B31" s="68" t="n">
        <f aca="false">SUM(B32:B39)/COUNT(B32:B39)</f>
        <v>1</v>
      </c>
      <c r="C31" s="69"/>
      <c r="D31" s="70" t="s">
        <v>45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37"/>
      <c r="AC31" s="27"/>
    </row>
    <row r="32" customFormat="false" ht="26.25" hidden="false" customHeight="true" outlineLevel="0" collapsed="false">
      <c r="B32" s="24" t="n">
        <f aca="false">IF(LEN(E32)&gt;1,1,0)</f>
        <v>1</v>
      </c>
      <c r="C32" s="17" t="str">
        <f aca="false">IF(B32=0,"*","")</f>
        <v/>
      </c>
      <c r="D32" s="71" t="s">
        <v>46</v>
      </c>
      <c r="E32" s="72" t="s">
        <v>47</v>
      </c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3"/>
      <c r="AC32" s="27"/>
    </row>
    <row r="33" customFormat="false" ht="21" hidden="false" customHeight="true" outlineLevel="0" collapsed="false">
      <c r="B33" s="24" t="n">
        <f aca="false">IF(LEN(E33)&gt;1,1,0)</f>
        <v>1</v>
      </c>
      <c r="C33" s="17" t="str">
        <f aca="false">IF(B33=0,"*","")</f>
        <v/>
      </c>
      <c r="D33" s="74" t="s">
        <v>48</v>
      </c>
      <c r="E33" s="75" t="s">
        <v>49</v>
      </c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3"/>
      <c r="AC33" s="27"/>
    </row>
    <row r="34" customFormat="false" ht="21" hidden="false" customHeight="true" outlineLevel="0" collapsed="false">
      <c r="B34" s="24" t="n">
        <f aca="false">IF(LEN(E34)&gt;1,1,0)</f>
        <v>1</v>
      </c>
      <c r="C34" s="17" t="str">
        <f aca="false">IF(B34=0,"*","")</f>
        <v/>
      </c>
      <c r="D34" s="76" t="s">
        <v>50</v>
      </c>
      <c r="E34" s="77" t="s">
        <v>51</v>
      </c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3"/>
      <c r="AC34" s="27"/>
    </row>
    <row r="35" customFormat="false" ht="30" hidden="false" customHeight="true" outlineLevel="0" collapsed="false">
      <c r="B35" s="24"/>
      <c r="D35" s="78" t="s">
        <v>52</v>
      </c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3"/>
      <c r="AC35" s="27"/>
    </row>
    <row r="36" customFormat="false" ht="21" hidden="false" customHeight="true" outlineLevel="0" collapsed="false">
      <c r="B36" s="24" t="n">
        <f aca="false">IF(LEN(E36)&gt;1,1,0)</f>
        <v>1</v>
      </c>
      <c r="C36" s="17" t="str">
        <f aca="false">IF(B36=0,"*","")</f>
        <v/>
      </c>
      <c r="D36" s="79" t="s">
        <v>46</v>
      </c>
      <c r="E36" s="75" t="s">
        <v>47</v>
      </c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3"/>
      <c r="AC36" s="27"/>
    </row>
    <row r="37" customFormat="false" ht="21" hidden="false" customHeight="true" outlineLevel="0" collapsed="false">
      <c r="B37" s="24" t="n">
        <f aca="false">IF(LEN(E37)&gt;1,1,0)</f>
        <v>1</v>
      </c>
      <c r="C37" s="17" t="str">
        <f aca="false">IF(B37=0,"*","")</f>
        <v/>
      </c>
      <c r="D37" s="74" t="s">
        <v>48</v>
      </c>
      <c r="E37" s="75" t="s">
        <v>53</v>
      </c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3"/>
      <c r="AC37" s="27"/>
    </row>
    <row r="38" customFormat="false" ht="21" hidden="false" customHeight="true" outlineLevel="0" collapsed="false">
      <c r="B38" s="24" t="n">
        <f aca="false">IF(LEN(E38)&gt;1,1,0)</f>
        <v>1</v>
      </c>
      <c r="C38" s="17" t="str">
        <f aca="false">IF(B38=0,"*","")</f>
        <v/>
      </c>
      <c r="D38" s="76" t="s">
        <v>54</v>
      </c>
      <c r="E38" s="75" t="s">
        <v>55</v>
      </c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3"/>
      <c r="AC38" s="27"/>
    </row>
    <row r="39" customFormat="false" ht="29.25" hidden="false" customHeight="true" outlineLevel="0" collapsed="false">
      <c r="B39" s="24" t="n">
        <f aca="false">IF(LEN(E39)&gt;1,1,0)</f>
        <v>1</v>
      </c>
      <c r="C39" s="17" t="str">
        <f aca="false">IF(B39=0,"*","")</f>
        <v/>
      </c>
      <c r="D39" s="80" t="s">
        <v>50</v>
      </c>
      <c r="E39" s="81" t="s">
        <v>51</v>
      </c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73"/>
      <c r="AC39" s="27"/>
    </row>
    <row r="40" customFormat="false" ht="26.25" hidden="false" customHeight="false" outlineLevel="0" collapsed="false">
      <c r="B40" s="24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27"/>
    </row>
    <row r="41" customFormat="false" ht="26.25" hidden="false" customHeight="false" outlineLevel="0" collapsed="false">
      <c r="B41" s="24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27"/>
    </row>
    <row r="42" customFormat="false" ht="26.25" hidden="false" customHeight="false" outlineLevel="0" collapsed="false">
      <c r="B42" s="24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27"/>
    </row>
    <row r="43" customFormat="false" ht="37.5" hidden="false" customHeight="true" outlineLevel="0" collapsed="false">
      <c r="B43" s="24" t="n">
        <f aca="false">SUM(B44:B99)/COUNT(B44:B99)</f>
        <v>1</v>
      </c>
      <c r="C43" s="17" t="str">
        <f aca="false">IF(B43=0,"*","")</f>
        <v/>
      </c>
      <c r="D43" s="82" t="s">
        <v>56</v>
      </c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3"/>
      <c r="AC43" s="27"/>
    </row>
    <row r="44" customFormat="false" ht="27.75" hidden="false" customHeight="true" outlineLevel="0" collapsed="false">
      <c r="B44" s="24" t="n">
        <f aca="false">IF(LEN(E44)&gt;1,1,0)</f>
        <v>1</v>
      </c>
      <c r="C44" s="17" t="str">
        <f aca="false">IF(B44=0,"*","")</f>
        <v/>
      </c>
      <c r="D44" s="84" t="s">
        <v>57</v>
      </c>
      <c r="E44" s="85" t="s">
        <v>58</v>
      </c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6"/>
      <c r="AC44" s="27"/>
    </row>
    <row r="45" customFormat="false" ht="22.5" hidden="false" customHeight="true" outlineLevel="0" collapsed="false">
      <c r="B45" s="24" t="n">
        <f aca="false">IF(LEN(E45)&gt;1,1,0)</f>
        <v>1</v>
      </c>
      <c r="C45" s="17" t="str">
        <f aca="false">IF(B45=0,"*","")</f>
        <v/>
      </c>
      <c r="D45" s="74" t="s">
        <v>59</v>
      </c>
      <c r="E45" s="87" t="s">
        <v>60</v>
      </c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6"/>
      <c r="AC45" s="27"/>
    </row>
    <row r="46" customFormat="false" ht="26.25" hidden="false" customHeight="true" outlineLevel="0" collapsed="false">
      <c r="B46" s="24" t="n">
        <f aca="false">IF(LEN(E46)&gt;1,1,0)</f>
        <v>1</v>
      </c>
      <c r="C46" s="17" t="str">
        <f aca="false">IF(B46=0,"*","")</f>
        <v/>
      </c>
      <c r="D46" s="74" t="s">
        <v>61</v>
      </c>
      <c r="E46" s="87" t="s">
        <v>62</v>
      </c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6"/>
      <c r="AC46" s="27"/>
    </row>
    <row r="47" customFormat="false" ht="36" hidden="false" customHeight="true" outlineLevel="0" collapsed="false">
      <c r="B47" s="24" t="n">
        <f aca="false">IF(LEN(E47)&gt;1,1,0)</f>
        <v>1</v>
      </c>
      <c r="C47" s="17" t="str">
        <f aca="false">IF(B47=0,"*","")</f>
        <v/>
      </c>
      <c r="D47" s="88" t="s">
        <v>63</v>
      </c>
      <c r="E47" s="89" t="s">
        <v>51</v>
      </c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6"/>
      <c r="AC47" s="27"/>
    </row>
    <row r="48" customFormat="false" ht="25.5" hidden="false" customHeight="true" outlineLevel="0" collapsed="false">
      <c r="B48" s="24" t="n">
        <f aca="false">IF(LEN(E48)&gt;1,1,0)</f>
        <v>1</v>
      </c>
      <c r="C48" s="17" t="str">
        <f aca="false">IF(B48=0,"*","")</f>
        <v/>
      </c>
      <c r="D48" s="74" t="s">
        <v>64</v>
      </c>
      <c r="E48" s="90" t="s">
        <v>65</v>
      </c>
      <c r="F48" s="90"/>
      <c r="G48" s="90"/>
      <c r="H48" s="90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41"/>
      <c r="AC48" s="27"/>
    </row>
    <row r="49" customFormat="false" ht="35.25" hidden="false" customHeight="true" outlineLevel="0" collapsed="false">
      <c r="B49" s="24" t="n">
        <f aca="false">IF(LEN(E49)&gt;1,1,0)</f>
        <v>1</v>
      </c>
      <c r="C49" s="17" t="str">
        <f aca="false">IF(B49=0,"*","")</f>
        <v/>
      </c>
      <c r="D49" s="74" t="s">
        <v>66</v>
      </c>
      <c r="E49" s="92" t="s">
        <v>67</v>
      </c>
      <c r="F49" s="92"/>
      <c r="G49" s="92"/>
      <c r="H49" s="92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41"/>
      <c r="AC49" s="27"/>
    </row>
    <row r="50" customFormat="false" ht="35.25" hidden="false" customHeight="true" outlineLevel="0" collapsed="false">
      <c r="B50" s="24" t="n">
        <f aca="false">IF(OR(E49="No",LEN(E49)&lt;1),1,IF(LEN(E50)&gt;1,1,0))</f>
        <v>1</v>
      </c>
      <c r="C50" s="17" t="str">
        <f aca="false">IF(B50=0,"*","")</f>
        <v/>
      </c>
      <c r="D50" s="74" t="s">
        <v>68</v>
      </c>
      <c r="E50" s="92"/>
      <c r="F50" s="92"/>
      <c r="G50" s="92"/>
      <c r="H50" s="92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1"/>
      <c r="AB50" s="41"/>
      <c r="AC50" s="27"/>
    </row>
    <row r="51" customFormat="false" ht="34.5" hidden="false" customHeight="true" outlineLevel="0" collapsed="false">
      <c r="B51" s="24" t="n">
        <f aca="false">IF(OR(E49="No",LEN(E49)&lt;1),1,IF(LEN(E51)&gt;1,1,0))</f>
        <v>1</v>
      </c>
      <c r="C51" s="17" t="str">
        <f aca="false">IF(B51=0,"*","")</f>
        <v/>
      </c>
      <c r="D51" s="94" t="s">
        <v>69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6"/>
      <c r="AC51" s="27"/>
    </row>
    <row r="52" customFormat="false" ht="21" hidden="false" customHeight="true" outlineLevel="0" collapsed="false">
      <c r="B52" s="24"/>
      <c r="D52" s="15"/>
      <c r="AC52" s="27"/>
    </row>
    <row r="53" customFormat="false" ht="34.5" hidden="false" customHeight="true" outlineLevel="0" collapsed="false">
      <c r="B53" s="24"/>
      <c r="D53" s="97" t="s">
        <v>70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C53" s="27"/>
    </row>
    <row r="54" customFormat="false" ht="21.75" hidden="false" customHeight="true" outlineLevel="0" collapsed="false">
      <c r="B54" s="24" t="n">
        <f aca="false">IF(LEN(E54)&gt;1,1,0)</f>
        <v>1</v>
      </c>
      <c r="C54" s="17" t="str">
        <f aca="false">IF(B54=0,"*","")</f>
        <v/>
      </c>
      <c r="D54" s="71" t="s">
        <v>71</v>
      </c>
      <c r="E54" s="98" t="s">
        <v>72</v>
      </c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C54" s="27"/>
    </row>
    <row r="55" customFormat="false" ht="21" hidden="false" customHeight="true" outlineLevel="0" collapsed="false">
      <c r="B55" s="24" t="n">
        <f aca="false">IF(LEN(E55)&gt;1,1,0)</f>
        <v>1</v>
      </c>
      <c r="C55" s="17" t="str">
        <f aca="false">IF(B55=0,"*","")</f>
        <v/>
      </c>
      <c r="D55" s="88" t="s">
        <v>73</v>
      </c>
      <c r="E55" s="99" t="s">
        <v>74</v>
      </c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C55" s="27"/>
    </row>
    <row r="56" customFormat="false" ht="21" hidden="false" customHeight="true" outlineLevel="0" collapsed="false">
      <c r="B56" s="24" t="n">
        <f aca="false">IF(LEN(E56)&gt;1,1,0)</f>
        <v>1</v>
      </c>
      <c r="C56" s="17" t="str">
        <f aca="false">IF(B56=0,"*","")</f>
        <v/>
      </c>
      <c r="D56" s="88" t="s">
        <v>75</v>
      </c>
      <c r="E56" s="99" t="s">
        <v>74</v>
      </c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C56" s="27"/>
    </row>
    <row r="57" customFormat="false" ht="21" hidden="false" customHeight="true" outlineLevel="0" collapsed="false">
      <c r="B57" s="24" t="n">
        <f aca="false">IF(LEN(E57)&gt;1,1,0)</f>
        <v>1</v>
      </c>
      <c r="C57" s="17" t="str">
        <f aca="false">IF(B57=0,"*","")</f>
        <v/>
      </c>
      <c r="D57" s="88" t="s">
        <v>76</v>
      </c>
      <c r="E57" s="99" t="s">
        <v>74</v>
      </c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C57" s="27"/>
    </row>
    <row r="58" customFormat="false" ht="21" hidden="false" customHeight="true" outlineLevel="0" collapsed="false">
      <c r="B58" s="24" t="n">
        <f aca="false">IF(LEN(E58)&gt;1,1,0)</f>
        <v>1</v>
      </c>
      <c r="C58" s="17" t="str">
        <f aca="false">IF(B58=0,"*","")</f>
        <v/>
      </c>
      <c r="D58" s="88" t="s">
        <v>77</v>
      </c>
      <c r="E58" s="99" t="s">
        <v>74</v>
      </c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C58" s="27"/>
    </row>
    <row r="59" customFormat="false" ht="21" hidden="false" customHeight="true" outlineLevel="0" collapsed="false">
      <c r="B59" s="24" t="n">
        <f aca="false">IF(LEN(E59)&gt;1,1,0)</f>
        <v>1</v>
      </c>
      <c r="C59" s="17" t="str">
        <f aca="false">IF(B59=0,"*","")</f>
        <v/>
      </c>
      <c r="D59" s="100" t="s">
        <v>78</v>
      </c>
      <c r="E59" s="99" t="s">
        <v>74</v>
      </c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C59" s="27"/>
    </row>
    <row r="60" customFormat="false" ht="34.5" hidden="false" customHeight="true" outlineLevel="0" collapsed="false">
      <c r="B60" s="24"/>
      <c r="D60" s="15"/>
      <c r="AC60" s="27"/>
    </row>
    <row r="61" customFormat="false" ht="24" hidden="false" customHeight="true" outlineLevel="0" collapsed="false">
      <c r="B61" s="24"/>
      <c r="D61" s="101" t="s">
        <v>79</v>
      </c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2"/>
      <c r="AC61" s="27"/>
    </row>
    <row r="62" customFormat="false" ht="27.75" hidden="false" customHeight="true" outlineLevel="0" collapsed="false">
      <c r="B62" s="24"/>
      <c r="D62" s="103" t="s">
        <v>80</v>
      </c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4"/>
      <c r="AC62" s="27"/>
    </row>
    <row r="63" customFormat="false" ht="30.75" hidden="false" customHeight="true" outlineLevel="0" collapsed="false">
      <c r="B63" s="24" t="n">
        <f aca="false">IF(LEN(E63)&gt;1,1,0)</f>
        <v>1</v>
      </c>
      <c r="C63" s="17" t="str">
        <f aca="false">IF(B63=0,"*","")</f>
        <v/>
      </c>
      <c r="D63" s="71" t="s">
        <v>81</v>
      </c>
      <c r="E63" s="105" t="s">
        <v>82</v>
      </c>
      <c r="F63" s="105"/>
      <c r="G63" s="105"/>
      <c r="H63" s="105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  <c r="AA63" s="106"/>
      <c r="AB63" s="18"/>
      <c r="AC63" s="27"/>
    </row>
    <row r="64" customFormat="false" ht="19.5" hidden="false" customHeight="true" outlineLevel="0" collapsed="false">
      <c r="B64" s="24" t="n">
        <f aca="false">IF(LEN(E64)&gt;1,1,0)</f>
        <v>1</v>
      </c>
      <c r="C64" s="17" t="str">
        <f aca="false">IF(B64=0,"*","")</f>
        <v/>
      </c>
      <c r="D64" s="74" t="s">
        <v>83</v>
      </c>
      <c r="E64" s="107" t="s">
        <v>84</v>
      </c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86"/>
      <c r="AC64" s="27"/>
    </row>
    <row r="65" customFormat="false" ht="19.5" hidden="false" customHeight="true" outlineLevel="0" collapsed="false">
      <c r="B65" s="24" t="n">
        <f aca="false">IF(LEN(E65)&gt;1,1,0)</f>
        <v>1</v>
      </c>
      <c r="C65" s="17" t="str">
        <f aca="false">IF(B65=0,"*","")</f>
        <v/>
      </c>
      <c r="D65" s="74" t="s">
        <v>85</v>
      </c>
      <c r="E65" s="108" t="n">
        <v>732</v>
      </c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86"/>
      <c r="AC65" s="27"/>
    </row>
    <row r="66" customFormat="false" ht="19.5" hidden="false" customHeight="true" outlineLevel="0" collapsed="false">
      <c r="B66" s="24" t="n">
        <f aca="false">IF(LEN(E66)&gt;1,1,0)</f>
        <v>1</v>
      </c>
      <c r="C66" s="17" t="str">
        <f aca="false">IF(B66=0,"*","")</f>
        <v/>
      </c>
      <c r="D66" s="74" t="s">
        <v>86</v>
      </c>
      <c r="E66" s="107" t="s">
        <v>87</v>
      </c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86"/>
      <c r="AC66" s="27"/>
    </row>
    <row r="67" customFormat="false" ht="19.5" hidden="false" customHeight="true" outlineLevel="0" collapsed="false">
      <c r="B67" s="24" t="n">
        <f aca="false">IF(LEN(E67)&gt;1,1,0)</f>
        <v>1</v>
      </c>
      <c r="C67" s="17" t="str">
        <f aca="false">IF(B67=0,"*","")</f>
        <v/>
      </c>
      <c r="D67" s="74" t="s">
        <v>88</v>
      </c>
      <c r="E67" s="109" t="s">
        <v>89</v>
      </c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86"/>
      <c r="AC67" s="27"/>
    </row>
    <row r="68" customFormat="false" ht="19.5" hidden="false" customHeight="true" outlineLevel="0" collapsed="false">
      <c r="B68" s="24" t="n">
        <f aca="false">IF(LEN(E68)&gt;1,1,0)</f>
        <v>1</v>
      </c>
      <c r="C68" s="17" t="str">
        <f aca="false">IF(B68=0,"*","")</f>
        <v/>
      </c>
      <c r="D68" s="74" t="s">
        <v>90</v>
      </c>
      <c r="E68" s="109" t="s">
        <v>89</v>
      </c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86"/>
      <c r="AC68" s="27"/>
    </row>
    <row r="69" customFormat="false" ht="19.5" hidden="false" customHeight="true" outlineLevel="0" collapsed="false">
      <c r="B69" s="24" t="n">
        <f aca="false">IF(LEN(E69)&gt;1,1,0)</f>
        <v>1</v>
      </c>
      <c r="C69" s="17" t="str">
        <f aca="false">IF(B69=0,"*","")</f>
        <v/>
      </c>
      <c r="D69" s="74" t="s">
        <v>91</v>
      </c>
      <c r="E69" s="108" t="n">
        <v>4200</v>
      </c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86"/>
      <c r="AC69" s="27"/>
    </row>
    <row r="70" customFormat="false" ht="19.5" hidden="false" customHeight="true" outlineLevel="0" collapsed="false">
      <c r="B70" s="24" t="n">
        <f aca="false">IF(LEN(E70)&gt;1,1,0)</f>
        <v>1</v>
      </c>
      <c r="C70" s="17" t="str">
        <f aca="false">IF(B70=0,"*","")</f>
        <v/>
      </c>
      <c r="D70" s="74" t="s">
        <v>92</v>
      </c>
      <c r="E70" s="108" t="s">
        <v>74</v>
      </c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86"/>
      <c r="AC70" s="27"/>
    </row>
    <row r="71" customFormat="false" ht="19.5" hidden="false" customHeight="true" outlineLevel="0" collapsed="false">
      <c r="B71" s="24" t="n">
        <f aca="false">IF(LEN(E71)&gt;1,1,0)</f>
        <v>1</v>
      </c>
      <c r="C71" s="17" t="str">
        <f aca="false">IF(B71=0,"*","")</f>
        <v/>
      </c>
      <c r="D71" s="74" t="s">
        <v>93</v>
      </c>
      <c r="E71" s="108" t="s">
        <v>94</v>
      </c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86"/>
      <c r="AC71" s="27"/>
    </row>
    <row r="72" customFormat="false" ht="19.5" hidden="false" customHeight="true" outlineLevel="0" collapsed="false">
      <c r="B72" s="24" t="n">
        <f aca="false">IF(LEN(E72)&gt;1,1,0)</f>
        <v>1</v>
      </c>
      <c r="C72" s="17" t="str">
        <f aca="false">IF(B72=0,"*","")</f>
        <v/>
      </c>
      <c r="D72" s="74" t="s">
        <v>95</v>
      </c>
      <c r="E72" s="109" t="s">
        <v>55</v>
      </c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86"/>
      <c r="AC72" s="27"/>
    </row>
    <row r="73" customFormat="false" ht="19.5" hidden="false" customHeight="true" outlineLevel="0" collapsed="false">
      <c r="B73" s="24" t="n">
        <f aca="false">IF(LEN(E73)&gt;1,1,0)</f>
        <v>1</v>
      </c>
      <c r="C73" s="17" t="str">
        <f aca="false">IF(B73=0,"*","")</f>
        <v/>
      </c>
      <c r="D73" s="74" t="s">
        <v>96</v>
      </c>
      <c r="E73" s="110" t="s">
        <v>97</v>
      </c>
      <c r="F73" s="110"/>
      <c r="G73" s="110"/>
      <c r="H73" s="110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8"/>
      <c r="AC73" s="27"/>
    </row>
    <row r="74" customFormat="false" ht="19.5" hidden="false" customHeight="true" outlineLevel="0" collapsed="false">
      <c r="B74" s="24" t="n">
        <f aca="false">IF(LEN(E74)&gt;1,1,0)</f>
        <v>1</v>
      </c>
      <c r="C74" s="17" t="str">
        <f aca="false">IF(B74=0,"*","")</f>
        <v/>
      </c>
      <c r="D74" s="74" t="s">
        <v>98</v>
      </c>
      <c r="E74" s="110" t="s">
        <v>99</v>
      </c>
      <c r="F74" s="110"/>
      <c r="G74" s="110"/>
      <c r="H74" s="110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8"/>
      <c r="AC74" s="27"/>
    </row>
    <row r="75" customFormat="false" ht="19.5" hidden="false" customHeight="true" outlineLevel="0" collapsed="false">
      <c r="B75" s="24" t="n">
        <f aca="false">IF(LEN(E75)&gt;1,1,0)</f>
        <v>1</v>
      </c>
      <c r="C75" s="17" t="str">
        <f aca="false">IF(B75=0,"*","")</f>
        <v/>
      </c>
      <c r="D75" s="74" t="s">
        <v>100</v>
      </c>
      <c r="E75" s="110" t="s">
        <v>82</v>
      </c>
      <c r="F75" s="110"/>
      <c r="G75" s="110"/>
      <c r="H75" s="110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8"/>
      <c r="AC75" s="27"/>
    </row>
    <row r="76" customFormat="false" ht="19.5" hidden="false" customHeight="true" outlineLevel="0" collapsed="false">
      <c r="B76" s="24" t="n">
        <f aca="false">IF(LEN(E76)&gt;1,1,0)</f>
        <v>1</v>
      </c>
      <c r="C76" s="17" t="str">
        <f aca="false">IF(B76=0,"*","")</f>
        <v/>
      </c>
      <c r="D76" s="80" t="s">
        <v>101</v>
      </c>
      <c r="E76" s="112" t="n">
        <v>2025</v>
      </c>
      <c r="F76" s="112"/>
      <c r="G76" s="112"/>
      <c r="H76" s="112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8"/>
      <c r="AC76" s="27"/>
    </row>
    <row r="77" customFormat="false" ht="39" hidden="false" customHeight="true" outlineLevel="0" collapsed="false">
      <c r="B77" s="24"/>
      <c r="D77" s="113"/>
      <c r="E77" s="36"/>
      <c r="F77" s="36"/>
      <c r="G77" s="36"/>
      <c r="H77" s="36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27"/>
    </row>
    <row r="78" customFormat="false" ht="41.25" hidden="false" customHeight="true" outlineLevel="0" collapsed="false">
      <c r="B78" s="24"/>
      <c r="D78" s="114" t="str">
        <f aca="false">IF(OR($E$75="Sí",LEN($E$75)&lt;1),"NA","DIRECCIÓN ANTERIOR")</f>
        <v>NA</v>
      </c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  <c r="AA78" s="114"/>
      <c r="AB78" s="115"/>
      <c r="AC78" s="27"/>
    </row>
    <row r="79" customFormat="false" ht="26.25" hidden="false" customHeight="false" outlineLevel="0" collapsed="false">
      <c r="B79" s="24" t="n">
        <f aca="false">IF(OR($E$75="Sí",LEN($E$75)&lt;1),1,IF(LEN(E79)&gt;1,1,0))</f>
        <v>1</v>
      </c>
      <c r="C79" s="17" t="str">
        <f aca="false">IF(B79=0,"*","")</f>
        <v/>
      </c>
      <c r="D79" s="84" t="s">
        <v>83</v>
      </c>
      <c r="E79" s="116"/>
      <c r="F79" s="116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6"/>
      <c r="V79" s="116"/>
      <c r="W79" s="116"/>
      <c r="X79" s="116"/>
      <c r="Y79" s="116"/>
      <c r="Z79" s="116"/>
      <c r="AA79" s="116"/>
      <c r="AB79" s="18"/>
      <c r="AC79" s="27"/>
    </row>
    <row r="80" customFormat="false" ht="26.25" hidden="false" customHeight="false" outlineLevel="0" collapsed="false">
      <c r="B80" s="24" t="n">
        <f aca="false">IF(OR($E$75="Sí",LEN($E$75)&lt;1),1,IF(LEN(E80)&gt;1,1,0))</f>
        <v>1</v>
      </c>
      <c r="C80" s="17" t="str">
        <f aca="false">IF(B80=0,"*","")</f>
        <v/>
      </c>
      <c r="D80" s="74" t="s">
        <v>102</v>
      </c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8"/>
      <c r="AC80" s="27"/>
    </row>
    <row r="81" customFormat="false" ht="26.25" hidden="false" customHeight="false" outlineLevel="0" collapsed="false">
      <c r="B81" s="24" t="n">
        <f aca="false">IF(OR($E$75="Sí",LEN($E$75)&lt;1),1,IF(LEN(E81)&gt;1,1,0))</f>
        <v>1</v>
      </c>
      <c r="C81" s="17" t="str">
        <f aca="false">IF(B81=0,"*","")</f>
        <v/>
      </c>
      <c r="D81" s="74" t="s">
        <v>103</v>
      </c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8"/>
      <c r="AC81" s="27"/>
    </row>
    <row r="82" customFormat="false" ht="26.25" hidden="false" customHeight="false" outlineLevel="0" collapsed="false">
      <c r="B82" s="24" t="n">
        <f aca="false">IF(OR($E$75="Sí",LEN($E$75)&lt;1),1,IF(LEN(E82)&gt;1,1,0))</f>
        <v>1</v>
      </c>
      <c r="C82" s="17" t="str">
        <f aca="false">IF(B82=0,"*","")</f>
        <v/>
      </c>
      <c r="D82" s="74" t="s">
        <v>104</v>
      </c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8"/>
      <c r="AC82" s="27"/>
    </row>
    <row r="83" customFormat="false" ht="26.25" hidden="false" customHeight="false" outlineLevel="0" collapsed="false">
      <c r="B83" s="24" t="n">
        <f aca="false">IF(OR($E$75="Sí",LEN($E$75)&lt;1),1,IF(LEN(E83)&gt;1,1,0))</f>
        <v>1</v>
      </c>
      <c r="C83" s="17" t="str">
        <f aca="false">IF(B83=0,"*","")</f>
        <v/>
      </c>
      <c r="D83" s="74" t="s">
        <v>105</v>
      </c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8"/>
      <c r="AC83" s="27"/>
    </row>
    <row r="84" customFormat="false" ht="26.25" hidden="false" customHeight="false" outlineLevel="0" collapsed="false">
      <c r="B84" s="24" t="n">
        <f aca="false">IF(OR($E$75="Sí",LEN($E$75)&lt;1),1,IF(LEN(E84)&gt;1,1,0))</f>
        <v>1</v>
      </c>
      <c r="C84" s="17" t="str">
        <f aca="false">IF(B84=0,"*","")</f>
        <v/>
      </c>
      <c r="D84" s="74" t="s">
        <v>106</v>
      </c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8"/>
      <c r="AC84" s="27"/>
    </row>
    <row r="85" customFormat="false" ht="26.25" hidden="false" customHeight="false" outlineLevel="0" collapsed="false">
      <c r="B85" s="24" t="n">
        <f aca="false">IF(OR($E$75="Sí",LEN($E$75)&lt;1),1,IF(LEN(E85)&gt;1,1,0))</f>
        <v>1</v>
      </c>
      <c r="C85" s="17" t="str">
        <f aca="false">IF(B85=0,"*","")</f>
        <v/>
      </c>
      <c r="D85" s="74" t="s">
        <v>88</v>
      </c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8"/>
      <c r="AC85" s="27"/>
    </row>
    <row r="86" customFormat="false" ht="26.25" hidden="false" customHeight="false" outlineLevel="0" collapsed="false">
      <c r="B86" s="24" t="n">
        <f aca="false">IF(OR($E$75="Sí",LEN($E$75)&lt;1),1,IF(LEN(E86)&gt;1,1,0))</f>
        <v>1</v>
      </c>
      <c r="C86" s="17" t="str">
        <f aca="false">IF(B86=0,"*","")</f>
        <v/>
      </c>
      <c r="D86" s="74" t="s">
        <v>107</v>
      </c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8"/>
      <c r="AC86" s="27"/>
    </row>
    <row r="87" customFormat="false" ht="26.25" hidden="false" customHeight="false" outlineLevel="0" collapsed="false">
      <c r="B87" s="24" t="n">
        <f aca="false">IF(OR($E$75="Sí",LEN($E$75)&lt;1),1,IF(LEN(E87)&gt;1,1,0))</f>
        <v>1</v>
      </c>
      <c r="C87" s="17" t="str">
        <f aca="false">IF(B87=0,"*","")</f>
        <v/>
      </c>
      <c r="D87" s="80" t="s">
        <v>93</v>
      </c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8"/>
      <c r="AC87" s="27"/>
    </row>
    <row r="88" customFormat="false" ht="26.25" hidden="false" customHeight="false" outlineLevel="0" collapsed="false">
      <c r="B88" s="24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27"/>
    </row>
    <row r="89" customFormat="false" ht="37.5" hidden="false" customHeight="true" outlineLevel="0" collapsed="false">
      <c r="B89" s="24"/>
      <c r="D89" s="114" t="str">
        <f aca="false">IF(OR($E$63="Sí",LEN($E$63)&lt;1),"NA","DIRECCIÓN FISCAL")</f>
        <v>NA</v>
      </c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  <c r="AA89" s="114"/>
      <c r="AB89" s="115"/>
      <c r="AC89" s="27"/>
    </row>
    <row r="90" customFormat="false" ht="21.75" hidden="false" customHeight="true" outlineLevel="0" collapsed="false">
      <c r="B90" s="24" t="n">
        <f aca="false">IF(OR($E$63="Sí",LEN($E$63)&lt;1),1,IF(LEN(E90)&gt;1,1,0))</f>
        <v>1</v>
      </c>
      <c r="C90" s="17" t="str">
        <f aca="false">IF(B90=0,"*","")</f>
        <v/>
      </c>
      <c r="D90" s="84" t="s">
        <v>83</v>
      </c>
      <c r="E90" s="116"/>
      <c r="F90" s="116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6"/>
      <c r="V90" s="116"/>
      <c r="W90" s="116"/>
      <c r="X90" s="116"/>
      <c r="Y90" s="116"/>
      <c r="Z90" s="116"/>
      <c r="AA90" s="116"/>
      <c r="AB90" s="18"/>
      <c r="AC90" s="27"/>
    </row>
    <row r="91" customFormat="false" ht="26.25" hidden="false" customHeight="false" outlineLevel="0" collapsed="false">
      <c r="B91" s="24" t="n">
        <f aca="false">IF(OR($E$63="Sí",LEN($E$63)&lt;1),1,IF(LEN(E91)&gt;1,1,0))</f>
        <v>1</v>
      </c>
      <c r="C91" s="17" t="str">
        <f aca="false">IF(B91=0,"*","")</f>
        <v/>
      </c>
      <c r="D91" s="74" t="s">
        <v>102</v>
      </c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8"/>
      <c r="AC91" s="27"/>
    </row>
    <row r="92" customFormat="false" ht="26.25" hidden="false" customHeight="false" outlineLevel="0" collapsed="false">
      <c r="B92" s="24" t="n">
        <f aca="false">IF(OR($E$63="Sí",LEN($E$63)&lt;1),1,IF(LEN(E92)&gt;1,1,0))</f>
        <v>1</v>
      </c>
      <c r="C92" s="17" t="str">
        <f aca="false">IF(B92=0,"*","")</f>
        <v/>
      </c>
      <c r="D92" s="74" t="s">
        <v>103</v>
      </c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8"/>
      <c r="AC92" s="27"/>
    </row>
    <row r="93" customFormat="false" ht="26.25" hidden="false" customHeight="false" outlineLevel="0" collapsed="false">
      <c r="B93" s="24" t="n">
        <f aca="false">IF(OR($E$63="Sí",LEN($E$63)&lt;1),1,IF(LEN(E93)&gt;1,1,0))</f>
        <v>1</v>
      </c>
      <c r="C93" s="17" t="str">
        <f aca="false">IF(B93=0,"*","")</f>
        <v/>
      </c>
      <c r="D93" s="74" t="s">
        <v>104</v>
      </c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8"/>
      <c r="AC93" s="27"/>
    </row>
    <row r="94" customFormat="false" ht="26.25" hidden="false" customHeight="false" outlineLevel="0" collapsed="false">
      <c r="B94" s="24" t="n">
        <f aca="false">IF(OR($E$63="Sí",LEN($E$63)&lt;1),1,IF(LEN(E94)&gt;1,1,0))</f>
        <v>1</v>
      </c>
      <c r="C94" s="17" t="str">
        <f aca="false">IF(B94=0,"*","")</f>
        <v/>
      </c>
      <c r="D94" s="74" t="s">
        <v>105</v>
      </c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8"/>
      <c r="AC94" s="27"/>
    </row>
    <row r="95" customFormat="false" ht="26.25" hidden="false" customHeight="false" outlineLevel="0" collapsed="false">
      <c r="B95" s="24" t="n">
        <f aca="false">IF(OR($E$63="Sí",LEN($E$63)&lt;1),1,IF(LEN(E95)&gt;1,1,0))</f>
        <v>1</v>
      </c>
      <c r="C95" s="17" t="str">
        <f aca="false">IF(B95=0,"*","")</f>
        <v/>
      </c>
      <c r="D95" s="74" t="s">
        <v>106</v>
      </c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8"/>
      <c r="AC95" s="27"/>
    </row>
    <row r="96" customFormat="false" ht="26.25" hidden="false" customHeight="false" outlineLevel="0" collapsed="false">
      <c r="B96" s="24" t="n">
        <f aca="false">IF(OR($E$63="Sí",LEN($E$63)&lt;1),1,IF(LEN(E96)&gt;1,1,0))</f>
        <v>1</v>
      </c>
      <c r="C96" s="17" t="str">
        <f aca="false">IF(B96=0,"*","")</f>
        <v/>
      </c>
      <c r="D96" s="74" t="s">
        <v>88</v>
      </c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8"/>
      <c r="AC96" s="27"/>
    </row>
    <row r="97" customFormat="false" ht="26.25" hidden="false" customHeight="false" outlineLevel="0" collapsed="false">
      <c r="B97" s="24" t="n">
        <f aca="false">IF(OR($E$63="Sí",LEN($E$63)&lt;1),1,IF(LEN(E97)&gt;1,1,0))</f>
        <v>1</v>
      </c>
      <c r="C97" s="17" t="str">
        <f aca="false">IF(B97=0,"*","")</f>
        <v/>
      </c>
      <c r="D97" s="74" t="s">
        <v>107</v>
      </c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8"/>
      <c r="AC97" s="27"/>
    </row>
    <row r="98" customFormat="false" ht="26.25" hidden="false" customHeight="false" outlineLevel="0" collapsed="false">
      <c r="B98" s="24" t="n">
        <f aca="false">IF(OR($E$63="Sí",LEN($E$63)&lt;1),1,IF(LEN(E98)&gt;1,1,0))</f>
        <v>1</v>
      </c>
      <c r="C98" s="17" t="str">
        <f aca="false">IF(B98=0,"*","")</f>
        <v/>
      </c>
      <c r="D98" s="74" t="s">
        <v>93</v>
      </c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8"/>
      <c r="AC98" s="27"/>
    </row>
    <row r="99" customFormat="false" ht="26.25" hidden="false" customHeight="false" outlineLevel="0" collapsed="false">
      <c r="B99" s="24" t="n">
        <f aca="false">IF(OR($E$63="Sí",LEN($E$63)&lt;1),1,IF(LEN(E99)&gt;1,1,0))</f>
        <v>1</v>
      </c>
      <c r="C99" s="17" t="str">
        <f aca="false">IF(B99=0,"*","")</f>
        <v/>
      </c>
      <c r="D99" s="80" t="s">
        <v>95</v>
      </c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8"/>
      <c r="AC99" s="27"/>
    </row>
    <row r="100" customFormat="false" ht="26.25" hidden="false" customHeight="false" outlineLevel="0" collapsed="false">
      <c r="B100" s="24"/>
      <c r="D100" s="113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27"/>
    </row>
    <row r="101" s="119" customFormat="true" ht="37.5" hidden="false" customHeight="true" outlineLevel="0" collapsed="false">
      <c r="B101" s="24" t="n">
        <f aca="false">SUM(B102:B158)/COUNT(B102:B158)</f>
        <v>1</v>
      </c>
      <c r="C101" s="17" t="str">
        <f aca="false">IF(B101=0,"*","")</f>
        <v/>
      </c>
      <c r="D101" s="70" t="s">
        <v>108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83"/>
      <c r="AC101" s="120"/>
    </row>
    <row r="102" customFormat="false" ht="21" hidden="false" customHeight="true" outlineLevel="0" collapsed="false">
      <c r="B102" s="24" t="n">
        <f aca="false">IF(OR(E48="Persona Física",LEN(E48)&lt;1),1,IF(LEN(E102)&gt;1,1,0))</f>
        <v>1</v>
      </c>
      <c r="C102" s="17" t="str">
        <f aca="false">IF(B102=0,"*","")</f>
        <v/>
      </c>
      <c r="D102" s="71" t="str">
        <f aca="false">IF(OR(E48="Persona Física",LEN(E48)&lt;1),"","Razón social origiinal:")</f>
        <v/>
      </c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8"/>
      <c r="AC102" s="27"/>
    </row>
    <row r="103" customFormat="false" ht="26.25" hidden="false" customHeight="false" outlineLevel="0" collapsed="false">
      <c r="B103" s="24" t="n">
        <f aca="false">IF(LEN(E103)&gt;1,1,0)</f>
        <v>1</v>
      </c>
      <c r="C103" s="17" t="str">
        <f aca="false">IF(B103=0,"*","")</f>
        <v/>
      </c>
      <c r="D103" s="74" t="s">
        <v>109</v>
      </c>
      <c r="E103" s="122" t="s">
        <v>110</v>
      </c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86"/>
      <c r="AC103" s="27"/>
    </row>
    <row r="104" customFormat="false" ht="26.25" hidden="false" customHeight="false" outlineLevel="0" collapsed="false">
      <c r="B104" s="24" t="n">
        <f aca="false">IF(LEN(E104)&gt;1,1,0)</f>
        <v>1</v>
      </c>
      <c r="C104" s="17" t="str">
        <f aca="false">IF(B104=0,"*","")</f>
        <v/>
      </c>
      <c r="D104" s="74" t="s">
        <v>111</v>
      </c>
      <c r="E104" s="123" t="n">
        <v>45870</v>
      </c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4"/>
      <c r="AC104" s="27"/>
    </row>
    <row r="105" customFormat="false" ht="26.25" hidden="false" customHeight="false" outlineLevel="0" collapsed="false">
      <c r="B105" s="24" t="n">
        <f aca="false">IF(LEN(E105)&gt;1,1,0)</f>
        <v>1</v>
      </c>
      <c r="C105" s="17" t="str">
        <f aca="false">IF(B105=0,"*","")</f>
        <v/>
      </c>
      <c r="D105" s="74" t="s">
        <v>112</v>
      </c>
      <c r="E105" s="123" t="n">
        <v>45870</v>
      </c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4"/>
      <c r="AC105" s="27"/>
    </row>
    <row r="106" customFormat="false" ht="26.25" hidden="false" customHeight="false" outlineLevel="0" collapsed="false">
      <c r="B106" s="24" t="n">
        <f aca="false">IF(LEN(E106)&gt;1,1,0)</f>
        <v>1</v>
      </c>
      <c r="C106" s="17" t="str">
        <f aca="false">IF(B106=0,"*","")</f>
        <v/>
      </c>
      <c r="D106" s="74" t="s">
        <v>113</v>
      </c>
      <c r="E106" s="125" t="s">
        <v>74</v>
      </c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4"/>
      <c r="AC106" s="27"/>
    </row>
    <row r="107" customFormat="false" ht="26.25" hidden="false" customHeight="false" outlineLevel="0" collapsed="false">
      <c r="B107" s="24" t="n">
        <f aca="false">IF(OR($E$48="Persona moral",LEN($E$48)&lt;1),1,IF(LEN(E107)&gt;1,1,0))</f>
        <v>1</v>
      </c>
      <c r="C107" s="17" t="str">
        <f aca="false">IF(B107=0,"*","")</f>
        <v/>
      </c>
      <c r="D107" s="74" t="s">
        <v>114</v>
      </c>
      <c r="E107" s="126" t="s">
        <v>74</v>
      </c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  <c r="AA107" s="126"/>
      <c r="AB107" s="124"/>
      <c r="AC107" s="27"/>
    </row>
    <row r="108" customFormat="false" ht="48" hidden="false" customHeight="true" outlineLevel="0" collapsed="false">
      <c r="B108" s="24" t="n">
        <f aca="false">IF(OR($E$48="Persona Física",LEN($E$48)&lt;1),1,IF(LEN(E108)&gt;0,1,0))</f>
        <v>1</v>
      </c>
      <c r="C108" s="17" t="str">
        <f aca="false">IF(B108=0,"*","")</f>
        <v/>
      </c>
      <c r="D108" s="74" t="s">
        <v>115</v>
      </c>
      <c r="E108" s="127" t="s">
        <v>116</v>
      </c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96"/>
      <c r="AC108" s="27"/>
    </row>
    <row r="109" customFormat="false" ht="26.25" hidden="false" customHeight="false" outlineLevel="0" collapsed="false">
      <c r="B109" s="24" t="n">
        <f aca="false">IF(OR($E$48="Persona Física",LEN($E$48)&lt;1),1,IF(LEN(E109)&gt;0,1,0))</f>
        <v>1</v>
      </c>
      <c r="C109" s="17" t="str">
        <f aca="false">IF(B109=0,"*","")</f>
        <v/>
      </c>
      <c r="D109" s="74" t="str">
        <f aca="false">IF(OR(E48="Persona Física",LEN(E48)&lt;1),"","No. de notaría:")</f>
        <v/>
      </c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86"/>
      <c r="AC109" s="27"/>
    </row>
    <row r="110" customFormat="false" ht="26.25" hidden="false" customHeight="false" outlineLevel="0" collapsed="false">
      <c r="B110" s="24" t="n">
        <f aca="false">IF(OR($E$48="Persona Física",LEN($E$48)&lt;1),1,IF(LEN(E110)&gt;0,1,0))</f>
        <v>1</v>
      </c>
      <c r="C110" s="17" t="str">
        <f aca="false">IF(B110=0,"*","")</f>
        <v/>
      </c>
      <c r="D110" s="74" t="str">
        <f aca="false">IF(OR(E48="Persona Física",LEN(E48)&lt;1),"","No. de escritura:")</f>
        <v/>
      </c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86"/>
      <c r="AC110" s="27"/>
    </row>
    <row r="111" customFormat="false" ht="26.25" hidden="false" customHeight="false" outlineLevel="0" collapsed="false">
      <c r="B111" s="24" t="n">
        <f aca="false">IF(OR($E$48="Persona Física",LEN($E$48)&lt;1),1,IF(LEN(E111)&gt;0,1,0))</f>
        <v>1</v>
      </c>
      <c r="C111" s="17" t="str">
        <f aca="false">IF(B111=0,"*","")</f>
        <v/>
      </c>
      <c r="D111" s="74" t="str">
        <f aca="false">IF(OR(E48="Persona Física",LEN(E48)&lt;1),"","Folio:")</f>
        <v/>
      </c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86"/>
      <c r="AC111" s="27"/>
    </row>
    <row r="112" customFormat="false" ht="26.25" hidden="false" customHeight="false" outlineLevel="0" collapsed="false">
      <c r="B112" s="24" t="n">
        <f aca="false">IF(OR($E$48="Persona Física",LEN($E$48)&lt;1),1,IF(LEN(E112)&gt;0,1,0))</f>
        <v>1</v>
      </c>
      <c r="C112" s="17" t="str">
        <f aca="false">IF(B112=0,"*","")</f>
        <v/>
      </c>
      <c r="D112" s="74" t="str">
        <f aca="false">IF(OR(E48="Persona Física",LEN(E48)&lt;1),"","Libro:")</f>
        <v/>
      </c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86"/>
      <c r="AC112" s="27"/>
    </row>
    <row r="113" customFormat="false" ht="26.25" hidden="false" customHeight="false" outlineLevel="0" collapsed="false">
      <c r="B113" s="24" t="n">
        <f aca="false">IF(OR($E$48="Persona Física",LEN($E$48)&lt;1),1,IF(LEN(E113)&gt;0,1,0))</f>
        <v>1</v>
      </c>
      <c r="C113" s="17" t="str">
        <f aca="false">IF(B113=0,"*","")</f>
        <v/>
      </c>
      <c r="D113" s="74" t="str">
        <f aca="false">IF(OR(E48="Persona Física",LEN(E48)&lt;1),"","Volumen:")</f>
        <v/>
      </c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86"/>
      <c r="AC113" s="27"/>
    </row>
    <row r="114" customFormat="false" ht="26.25" hidden="false" customHeight="false" outlineLevel="0" collapsed="false">
      <c r="B114" s="24" t="n">
        <f aca="false">IF(OR($E$48="Persona Física",LEN($E$48)&lt;1),1,IF(LEN(E114)&gt;0,1,0))</f>
        <v>1</v>
      </c>
      <c r="C114" s="17" t="str">
        <f aca="false">IF(B114=0,"*","")</f>
        <v/>
      </c>
      <c r="D114" s="74" t="str">
        <f aca="false">IF(OR(E48="Persona Física",LEN(E48)&lt;1),"","Fojas:")</f>
        <v/>
      </c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86"/>
      <c r="AC114" s="27"/>
    </row>
    <row r="115" customFormat="false" ht="26.25" hidden="false" customHeight="false" outlineLevel="0" collapsed="false">
      <c r="B115" s="24" t="n">
        <f aca="false">IF(OR($E$48="Persona Física",LEN($E$48)&lt;1),1,IF(LEN(E115)&gt;0,1,0))</f>
        <v>1</v>
      </c>
      <c r="C115" s="17" t="str">
        <f aca="false">IF(B115=0,"*","")</f>
        <v/>
      </c>
      <c r="D115" s="74" t="str">
        <f aca="false">IF(OR(E48="Persona Física",LEN(E48)&lt;1),"","No:")</f>
        <v/>
      </c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86"/>
      <c r="AC115" s="27"/>
    </row>
    <row r="116" customFormat="false" ht="19.5" hidden="false" customHeight="true" outlineLevel="0" collapsed="false">
      <c r="B116" s="24" t="n">
        <f aca="false">IF(OR($E$48="Persona Física",LEN($E$48)&lt;1),1,IF(LEN(E116)&gt;0,1,0))</f>
        <v>1</v>
      </c>
      <c r="C116" s="17" t="str">
        <f aca="false">IF(B116=0,"*","")</f>
        <v/>
      </c>
      <c r="D116" s="74" t="str">
        <f aca="false">IF(OR(E48="Persona Física",LEN(E48)&lt;1),"","Partida:")</f>
        <v/>
      </c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86"/>
      <c r="AC116" s="27"/>
    </row>
    <row r="117" customFormat="false" ht="34.5" hidden="false" customHeight="true" outlineLevel="0" collapsed="false">
      <c r="B117" s="24" t="n">
        <f aca="false">IF(OR($E$48="Persona Física",LEN($E$48)&lt;1),1,IF(LEN(E117)&gt;1,1,0))</f>
        <v>1</v>
      </c>
      <c r="C117" s="17" t="str">
        <f aca="false">IF(B117=0,"*","")</f>
        <v/>
      </c>
      <c r="D117" s="74" t="str">
        <f aca="false">IF(OR(E48="Persona Física",LEN(E48)&lt;1),"","Duración de la sociedad (años):")</f>
        <v/>
      </c>
      <c r="E117" s="128"/>
      <c r="F117" s="128"/>
      <c r="G117" s="128"/>
      <c r="H117" s="128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41"/>
      <c r="AC117" s="27"/>
    </row>
    <row r="118" customFormat="false" ht="34.5" hidden="false" customHeight="true" outlineLevel="0" collapsed="false">
      <c r="B118" s="24" t="n">
        <f aca="false">IF(OR($E$48="Persona Física",LEN($E$48)&lt;1),1,IF(LEN(E118)&gt;1,1,0))</f>
        <v>1</v>
      </c>
      <c r="C118" s="17" t="str">
        <f aca="false">IF(B118=0,"*","")</f>
        <v/>
      </c>
      <c r="D118" s="76" t="str">
        <f aca="false">IF(OR(E48="Persona Física",LEN(E48)&lt;1),"","¿Ha cambiado de razón social y/o estructura legal?")</f>
        <v/>
      </c>
      <c r="E118" s="128"/>
      <c r="F118" s="128"/>
      <c r="G118" s="128"/>
      <c r="H118" s="128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41"/>
      <c r="AC118" s="27"/>
    </row>
    <row r="119" customFormat="false" ht="28.5" hidden="false" customHeight="true" outlineLevel="0" collapsed="false">
      <c r="B119" s="24" t="n">
        <f aca="false">IF(OR($E$48="Persona Física",LEN($E$48)&lt;1),1,IF(LEN(E119)&gt;1,1,0))</f>
        <v>1</v>
      </c>
      <c r="C119" s="17" t="str">
        <f aca="false">IF(B119=0,"*","")</f>
        <v/>
      </c>
      <c r="D119" s="80" t="str">
        <f aca="false">IF(OR(E48="Persona Física",LEN(E48)&lt;1),"","¿Se ha fusionado o escindido?")</f>
        <v/>
      </c>
      <c r="E119" s="130"/>
      <c r="F119" s="130"/>
      <c r="G119" s="130"/>
      <c r="H119" s="130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41"/>
      <c r="AC119" s="27"/>
    </row>
    <row r="120" customFormat="false" ht="36" hidden="false" customHeight="true" outlineLevel="0" collapsed="false">
      <c r="B120" s="24"/>
      <c r="E120" s="36"/>
      <c r="F120" s="36"/>
      <c r="G120" s="36"/>
      <c r="H120" s="36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2"/>
      <c r="AB120" s="41"/>
      <c r="AC120" s="27"/>
    </row>
    <row r="121" customFormat="false" ht="36" hidden="false" customHeight="true" outlineLevel="0" collapsed="false">
      <c r="B121" s="24"/>
      <c r="D121" s="34" t="str">
        <f aca="false">IF(OR(E119="No",LEN(E119)&lt;1,$E$48="Persona Física"),"NA","FUSIONES O ESCISIONES")</f>
        <v>NA</v>
      </c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7"/>
      <c r="AC121" s="27"/>
    </row>
    <row r="122" customFormat="false" ht="36" hidden="false" customHeight="true" outlineLevel="0" collapsed="false">
      <c r="B122" s="24"/>
      <c r="D122" s="133" t="s">
        <v>117</v>
      </c>
      <c r="E122" s="134" t="s">
        <v>118</v>
      </c>
      <c r="F122" s="134"/>
      <c r="G122" s="134"/>
      <c r="H122" s="134" t="s">
        <v>119</v>
      </c>
      <c r="I122" s="134"/>
      <c r="J122" s="134" t="s">
        <v>120</v>
      </c>
      <c r="K122" s="134"/>
      <c r="L122" s="134"/>
      <c r="M122" s="134"/>
      <c r="N122" s="134" t="s">
        <v>121</v>
      </c>
      <c r="O122" s="134"/>
      <c r="P122" s="134" t="s">
        <v>122</v>
      </c>
      <c r="Q122" s="134" t="s">
        <v>123</v>
      </c>
      <c r="R122" s="134"/>
      <c r="S122" s="135" t="s">
        <v>124</v>
      </c>
      <c r="T122" s="135"/>
      <c r="U122" s="135"/>
      <c r="V122" s="135"/>
      <c r="W122" s="135"/>
      <c r="X122" s="135"/>
      <c r="Y122" s="136" t="s">
        <v>125</v>
      </c>
      <c r="Z122" s="136"/>
      <c r="AA122" s="136"/>
      <c r="AB122" s="137"/>
      <c r="AC122" s="27"/>
    </row>
    <row r="123" customFormat="false" ht="36" hidden="false" customHeight="true" outlineLevel="0" collapsed="false">
      <c r="B123" s="24" t="n">
        <f aca="false">IF(OR(E119="No",LEN(E119)&lt;1,$E$48="Persona Física"),1,IF(LEN(E123)&gt;1,1,0))</f>
        <v>1</v>
      </c>
      <c r="C123" s="17" t="str">
        <f aca="false">IF(B123=0,"*","")</f>
        <v/>
      </c>
      <c r="D123" s="138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40"/>
      <c r="Z123" s="140"/>
      <c r="AA123" s="140"/>
      <c r="AB123" s="137"/>
      <c r="AC123" s="27"/>
    </row>
    <row r="124" customFormat="false" ht="36" hidden="false" customHeight="true" outlineLevel="0" collapsed="false">
      <c r="B124" s="24"/>
      <c r="D124" s="141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3"/>
      <c r="Z124" s="143"/>
      <c r="AA124" s="143"/>
      <c r="AB124" s="137"/>
      <c r="AC124" s="27"/>
    </row>
    <row r="125" customFormat="false" ht="36" hidden="false" customHeight="true" outlineLevel="0" collapsed="false">
      <c r="B125" s="24"/>
      <c r="D125" s="144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5"/>
      <c r="Q125" s="145"/>
      <c r="R125" s="145"/>
      <c r="S125" s="145"/>
      <c r="T125" s="145"/>
      <c r="U125" s="145"/>
      <c r="V125" s="145"/>
      <c r="W125" s="145"/>
      <c r="X125" s="145"/>
      <c r="Y125" s="143"/>
      <c r="Z125" s="143"/>
      <c r="AA125" s="143"/>
      <c r="AB125" s="137"/>
      <c r="AC125" s="27"/>
    </row>
    <row r="126" customFormat="false" ht="36" hidden="false" customHeight="true" outlineLevel="0" collapsed="false">
      <c r="B126" s="24"/>
      <c r="E126" s="36"/>
      <c r="F126" s="36"/>
      <c r="G126" s="36"/>
      <c r="H126" s="36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41"/>
      <c r="AC126" s="27"/>
    </row>
    <row r="127" customFormat="false" ht="36" hidden="false" customHeight="true" outlineLevel="0" collapsed="false">
      <c r="B127" s="24"/>
      <c r="E127" s="36"/>
      <c r="F127" s="36"/>
      <c r="G127" s="36"/>
      <c r="H127" s="36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41"/>
      <c r="AC127" s="27"/>
    </row>
    <row r="128" customFormat="false" ht="32.25" hidden="false" customHeight="true" outlineLevel="0" collapsed="false">
      <c r="B128" s="24"/>
      <c r="D128" s="34" t="str">
        <f aca="false">IF(OR($E$118="No",LEN($E$118)&lt;1,$E$48="Persona Física"),"NA","CAMBIOS DE RAZÓN SOCIAL Y/O ESTRUCTURA LEGAL (HISTÓRICO)")</f>
        <v>NA</v>
      </c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7"/>
      <c r="AC128" s="27"/>
    </row>
    <row r="129" customFormat="false" ht="30" hidden="false" customHeight="true" outlineLevel="0" collapsed="false">
      <c r="B129" s="24"/>
      <c r="D129" s="146"/>
      <c r="E129" s="147" t="s">
        <v>126</v>
      </c>
      <c r="F129" s="147"/>
      <c r="G129" s="147"/>
      <c r="H129" s="147"/>
      <c r="I129" s="147" t="s">
        <v>127</v>
      </c>
      <c r="J129" s="147"/>
      <c r="K129" s="147"/>
      <c r="L129" s="147"/>
      <c r="M129" s="147" t="s">
        <v>128</v>
      </c>
      <c r="N129" s="147"/>
      <c r="O129" s="147"/>
      <c r="P129" s="147"/>
      <c r="Q129" s="147" t="s">
        <v>129</v>
      </c>
      <c r="R129" s="147"/>
      <c r="S129" s="147"/>
      <c r="T129" s="147"/>
      <c r="U129" s="147" t="s">
        <v>130</v>
      </c>
      <c r="V129" s="147"/>
      <c r="W129" s="147"/>
      <c r="X129" s="147"/>
      <c r="Y129" s="148"/>
      <c r="Z129" s="148"/>
      <c r="AA129" s="148"/>
      <c r="AB129" s="149"/>
      <c r="AC129" s="27"/>
    </row>
    <row r="130" customFormat="false" ht="26.25" hidden="false" customHeight="false" outlineLevel="0" collapsed="false">
      <c r="B130" s="24" t="n">
        <f aca="false">IF(OR($E$118="No",LEN($E$118)&lt;1,$E$48="Persona Física"),1,IF(LEN(E130)&gt;1,1,0))</f>
        <v>1</v>
      </c>
      <c r="C130" s="17" t="str">
        <f aca="false">IF(B130=0,"*","")</f>
        <v/>
      </c>
      <c r="D130" s="74" t="s">
        <v>131</v>
      </c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50"/>
      <c r="Z130" s="150"/>
      <c r="AA130" s="150"/>
      <c r="AB130" s="151"/>
      <c r="AC130" s="27"/>
    </row>
    <row r="131" customFormat="false" ht="26.25" hidden="false" customHeight="false" outlineLevel="0" collapsed="false">
      <c r="B131" s="24" t="n">
        <f aca="false">IF(OR($E$118="No",LEN($E$118)&lt;1,$E$48="Persona Física"),1,IF(LEN(E131)&gt;1,1,0))</f>
        <v>1</v>
      </c>
      <c r="C131" s="17" t="str">
        <f aca="false">IF(B131=0,"*","")</f>
        <v/>
      </c>
      <c r="D131" s="74" t="s">
        <v>132</v>
      </c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50"/>
      <c r="Z131" s="150"/>
      <c r="AA131" s="150"/>
      <c r="AB131" s="151"/>
      <c r="AC131" s="27"/>
    </row>
    <row r="132" customFormat="false" ht="26.25" hidden="false" customHeight="false" outlineLevel="0" collapsed="false">
      <c r="B132" s="24" t="n">
        <f aca="false">IF(OR($E$118="No",LEN($E$118)&lt;1,$E$48="Persona Física"),1,IF(LEN(E132)&gt;1,1,0))</f>
        <v>1</v>
      </c>
      <c r="C132" s="17" t="str">
        <f aca="false">IF(B132=0,"*","")</f>
        <v/>
      </c>
      <c r="D132" s="76" t="s">
        <v>133</v>
      </c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50"/>
      <c r="Z132" s="150"/>
      <c r="AA132" s="150"/>
      <c r="AB132" s="151"/>
      <c r="AC132" s="27"/>
    </row>
    <row r="133" customFormat="false" ht="26.25" hidden="false" customHeight="false" outlineLevel="0" collapsed="false">
      <c r="B133" s="24" t="n">
        <f aca="false">IF(OR($E$118="No",LEN($E$118)&lt;1,$E$48="Persona Física"),1,IF(LEN(E133)&gt;1,1,0))</f>
        <v>1</v>
      </c>
      <c r="C133" s="17" t="str">
        <f aca="false">IF(B133=0,"*","")</f>
        <v/>
      </c>
      <c r="D133" s="76" t="s">
        <v>134</v>
      </c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50"/>
      <c r="Z133" s="150"/>
      <c r="AA133" s="150"/>
      <c r="AB133" s="151"/>
      <c r="AC133" s="27"/>
    </row>
    <row r="134" customFormat="false" ht="26.25" hidden="false" customHeight="false" outlineLevel="0" collapsed="false">
      <c r="B134" s="24" t="n">
        <f aca="false">IF(OR($E$118="No",LEN($E$118)&lt;1,$E$48="Persona Física"),1,IF(LEN(E134)&gt;1,1,0))</f>
        <v>1</v>
      </c>
      <c r="C134" s="17" t="str">
        <f aca="false">IF(B134=0,"*","")</f>
        <v/>
      </c>
      <c r="D134" s="80" t="s">
        <v>135</v>
      </c>
      <c r="E134" s="152"/>
      <c r="F134" s="152"/>
      <c r="G134" s="152"/>
      <c r="H134" s="152"/>
      <c r="I134" s="145"/>
      <c r="J134" s="145"/>
      <c r="K134" s="145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50"/>
      <c r="Z134" s="150"/>
      <c r="AA134" s="150"/>
      <c r="AB134" s="151"/>
      <c r="AC134" s="27"/>
    </row>
    <row r="135" customFormat="false" ht="25.5" hidden="false" customHeight="true" outlineLevel="0" collapsed="false">
      <c r="B135" s="24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27"/>
    </row>
    <row r="136" customFormat="false" ht="31.5" hidden="false" customHeight="true" outlineLevel="0" collapsed="false">
      <c r="B136" s="24"/>
      <c r="D136" s="34" t="str">
        <f aca="false">IF(OR(E48="Persona Física",LEN(E48)&lt;1),"NA","CAPITAL SOCIAL")</f>
        <v>NA</v>
      </c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7"/>
      <c r="AC136" s="27"/>
    </row>
    <row r="137" customFormat="false" ht="26.25" hidden="false" customHeight="false" outlineLevel="0" collapsed="false">
      <c r="B137" s="24" t="n">
        <f aca="false">IF(OR($E$48="Persona Física",LEN($E$48)&lt;1),1,IF(LEN(E137)&gt;1,1,0))</f>
        <v>1</v>
      </c>
      <c r="C137" s="17" t="str">
        <f aca="false">IF(B137=0,"*","")</f>
        <v/>
      </c>
      <c r="D137" s="71" t="s">
        <v>136</v>
      </c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  <c r="Z137" s="153"/>
      <c r="AA137" s="153"/>
      <c r="AB137" s="86"/>
      <c r="AC137" s="27"/>
    </row>
    <row r="138" customFormat="false" ht="26.25" hidden="false" customHeight="false" outlineLevel="0" collapsed="false">
      <c r="B138" s="24" t="n">
        <f aca="false">IF(OR($E$48="Persona Física",LEN($E$48)&lt;1),1,IF(LEN(E138)&gt;1,1,0))</f>
        <v>1</v>
      </c>
      <c r="C138" s="17" t="str">
        <f aca="false">IF(B138=0,"*","")</f>
        <v/>
      </c>
      <c r="D138" s="74" t="s">
        <v>137</v>
      </c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86"/>
      <c r="AC138" s="27"/>
    </row>
    <row r="139" customFormat="false" ht="26.25" hidden="false" customHeight="false" outlineLevel="0" collapsed="false">
      <c r="B139" s="24" t="n">
        <f aca="false">IF(OR($E$48="Persona Física",LEN($E$48)&lt;1),1,IF(LEN(E139)&gt;1,1,0))</f>
        <v>1</v>
      </c>
      <c r="C139" s="17" t="str">
        <f aca="false">IF(B139=0,"*","")</f>
        <v/>
      </c>
      <c r="D139" s="74" t="s">
        <v>138</v>
      </c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86"/>
      <c r="AC139" s="27"/>
    </row>
    <row r="140" customFormat="false" ht="26.25" hidden="false" customHeight="false" outlineLevel="0" collapsed="false">
      <c r="B140" s="24" t="n">
        <f aca="false">IF(OR($E$48="Persona Física",LEN($E$48)&lt;1),1,IF(LEN(E140)&gt;1,1,0))</f>
        <v>1</v>
      </c>
      <c r="C140" s="17" t="str">
        <f aca="false">IF(B140=0,"*","")</f>
        <v/>
      </c>
      <c r="D140" s="80" t="s">
        <v>139</v>
      </c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86"/>
      <c r="AC140" s="27"/>
    </row>
    <row r="141" customFormat="false" ht="21" hidden="false" customHeight="true" outlineLevel="0" collapsed="false">
      <c r="B141" s="24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27"/>
    </row>
    <row r="142" customFormat="false" ht="30" hidden="false" customHeight="true" outlineLevel="0" collapsed="false">
      <c r="B142" s="24"/>
      <c r="D142" s="34" t="str">
        <f aca="false">IF(OR($E$48="Persona Física",LEN($E$48)&lt;1),"NA","ACCIONISTAS ACTUALES")</f>
        <v>NA</v>
      </c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7"/>
      <c r="AC142" s="27"/>
    </row>
    <row r="143" customFormat="false" ht="39" hidden="false" customHeight="true" outlineLevel="0" collapsed="false">
      <c r="B143" s="24"/>
      <c r="D143" s="156"/>
      <c r="E143" s="157" t="s">
        <v>140</v>
      </c>
      <c r="F143" s="157"/>
      <c r="G143" s="157"/>
      <c r="H143" s="157"/>
      <c r="I143" s="157" t="s">
        <v>141</v>
      </c>
      <c r="J143" s="157"/>
      <c r="K143" s="157"/>
      <c r="L143" s="157"/>
      <c r="M143" s="157" t="s">
        <v>142</v>
      </c>
      <c r="N143" s="157"/>
      <c r="O143" s="157"/>
      <c r="P143" s="157"/>
      <c r="Q143" s="157" t="s">
        <v>143</v>
      </c>
      <c r="R143" s="157"/>
      <c r="S143" s="157"/>
      <c r="T143" s="157"/>
      <c r="U143" s="157" t="s">
        <v>144</v>
      </c>
      <c r="V143" s="157"/>
      <c r="W143" s="157"/>
      <c r="X143" s="157"/>
      <c r="Y143" s="158" t="s">
        <v>145</v>
      </c>
      <c r="Z143" s="158"/>
      <c r="AA143" s="158"/>
      <c r="AB143" s="159"/>
      <c r="AC143" s="27"/>
    </row>
    <row r="144" customFormat="false" ht="26.25" hidden="false" customHeight="false" outlineLevel="0" collapsed="false">
      <c r="B144" s="24" t="n">
        <f aca="false">IF(OR($E$48="Persona Física",LEN($E$48)&lt;1),1,IF(LEN(E144)&gt;1,1,0))</f>
        <v>1</v>
      </c>
      <c r="C144" s="17" t="str">
        <f aca="false">IF(B144=0,"*","")</f>
        <v/>
      </c>
      <c r="D144" s="74" t="s">
        <v>46</v>
      </c>
      <c r="E144" s="160"/>
      <c r="F144" s="160"/>
      <c r="G144" s="160"/>
      <c r="H144" s="160"/>
      <c r="I144" s="160"/>
      <c r="J144" s="160"/>
      <c r="K144" s="160"/>
      <c r="L144" s="160"/>
      <c r="M144" s="160"/>
      <c r="N144" s="160"/>
      <c r="O144" s="160"/>
      <c r="P144" s="160"/>
      <c r="Q144" s="160"/>
      <c r="R144" s="160"/>
      <c r="S144" s="160"/>
      <c r="T144" s="160"/>
      <c r="U144" s="160"/>
      <c r="V144" s="160"/>
      <c r="W144" s="160"/>
      <c r="X144" s="160"/>
      <c r="Y144" s="161"/>
      <c r="Z144" s="161"/>
      <c r="AA144" s="161"/>
      <c r="AB144" s="41"/>
      <c r="AC144" s="27"/>
    </row>
    <row r="145" customFormat="false" ht="26.25" hidden="false" customHeight="false" outlineLevel="0" collapsed="false">
      <c r="B145" s="24" t="n">
        <f aca="false">IF(OR($E$48="Persona Física",LEN($E$48)&lt;1),1,IF(LEN(E145)&gt;0,1,0))</f>
        <v>1</v>
      </c>
      <c r="C145" s="17" t="str">
        <f aca="false">IF(B145=0,"*","")</f>
        <v/>
      </c>
      <c r="D145" s="74" t="s">
        <v>138</v>
      </c>
      <c r="E145" s="162"/>
      <c r="F145" s="162"/>
      <c r="G145" s="162"/>
      <c r="H145" s="162"/>
      <c r="I145" s="162"/>
      <c r="J145" s="162"/>
      <c r="K145" s="162"/>
      <c r="L145" s="162"/>
      <c r="M145" s="162"/>
      <c r="N145" s="162"/>
      <c r="O145" s="162"/>
      <c r="P145" s="162"/>
      <c r="Q145" s="162"/>
      <c r="R145" s="162"/>
      <c r="S145" s="162"/>
      <c r="T145" s="162"/>
      <c r="U145" s="162"/>
      <c r="V145" s="162"/>
      <c r="W145" s="162"/>
      <c r="X145" s="162"/>
      <c r="Y145" s="161"/>
      <c r="Z145" s="161"/>
      <c r="AA145" s="161"/>
      <c r="AB145" s="41"/>
      <c r="AC145" s="27"/>
    </row>
    <row r="146" customFormat="false" ht="26.25" hidden="false" customHeight="false" outlineLevel="0" collapsed="false">
      <c r="B146" s="24" t="n">
        <f aca="false">IF(OR($E$48="Persona Física",LEN($E$48)&lt;1),1,IF(LEN(E146)&gt;0,1,0))</f>
        <v>1</v>
      </c>
      <c r="C146" s="17" t="str">
        <f aca="false">IF(B146=0,"*","")</f>
        <v/>
      </c>
      <c r="D146" s="80" t="s">
        <v>146</v>
      </c>
      <c r="E146" s="163"/>
      <c r="F146" s="163"/>
      <c r="G146" s="163"/>
      <c r="H146" s="163"/>
      <c r="I146" s="163"/>
      <c r="J146" s="163"/>
      <c r="K146" s="163"/>
      <c r="L146" s="163"/>
      <c r="M146" s="163"/>
      <c r="N146" s="163"/>
      <c r="O146" s="163"/>
      <c r="P146" s="163"/>
      <c r="Q146" s="163"/>
      <c r="R146" s="163"/>
      <c r="S146" s="163"/>
      <c r="T146" s="163"/>
      <c r="U146" s="163"/>
      <c r="V146" s="163"/>
      <c r="W146" s="163"/>
      <c r="X146" s="163"/>
      <c r="Y146" s="161"/>
      <c r="Z146" s="161"/>
      <c r="AA146" s="161"/>
      <c r="AB146" s="41"/>
      <c r="AC146" s="27"/>
    </row>
    <row r="147" customFormat="false" ht="31.5" hidden="false" customHeight="true" outlineLevel="0" collapsed="false">
      <c r="B147" s="24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27"/>
    </row>
    <row r="148" customFormat="false" ht="31.5" hidden="false" customHeight="true" outlineLevel="0" collapsed="false">
      <c r="B148" s="24"/>
      <c r="D148" s="34" t="str">
        <f aca="false">IF(OR($E$48="Persona Física",LEN($E$48)&lt;1),"NA","PODER NOTARIAL PARA SUSCRIBIR DOCUMENTOS DE CRÉDITO")</f>
        <v>NA</v>
      </c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7"/>
      <c r="AC148" s="27"/>
    </row>
    <row r="149" customFormat="false" ht="31.5" hidden="false" customHeight="true" outlineLevel="0" collapsed="false">
      <c r="B149" s="24"/>
      <c r="D149" s="164"/>
      <c r="E149" s="165" t="s">
        <v>147</v>
      </c>
      <c r="F149" s="165"/>
      <c r="G149" s="165"/>
      <c r="H149" s="165"/>
      <c r="I149" s="166" t="s">
        <v>148</v>
      </c>
      <c r="J149" s="166"/>
      <c r="K149" s="166"/>
      <c r="L149" s="166"/>
      <c r="M149" s="166" t="s">
        <v>149</v>
      </c>
      <c r="N149" s="166"/>
      <c r="O149" s="166"/>
      <c r="P149" s="166"/>
      <c r="Q149" s="166" t="s">
        <v>150</v>
      </c>
      <c r="R149" s="166"/>
      <c r="S149" s="166"/>
      <c r="T149" s="166"/>
      <c r="U149" s="166" t="s">
        <v>151</v>
      </c>
      <c r="V149" s="166"/>
      <c r="W149" s="166"/>
      <c r="X149" s="166"/>
      <c r="Y149" s="167"/>
      <c r="Z149" s="167"/>
      <c r="AA149" s="167"/>
      <c r="AB149" s="168"/>
      <c r="AC149" s="27"/>
    </row>
    <row r="150" customFormat="false" ht="25.5" hidden="false" customHeight="true" outlineLevel="0" collapsed="false">
      <c r="B150" s="24" t="n">
        <f aca="false">IF(OR($E$48="Persona Física",LEN($E$48)&lt;1),1,IF(LEN(E150)&gt;1,1,0))</f>
        <v>1</v>
      </c>
      <c r="C150" s="17" t="str">
        <f aca="false">IF(B150=0,"*","")</f>
        <v/>
      </c>
      <c r="D150" s="74" t="s">
        <v>46</v>
      </c>
      <c r="E150" s="169"/>
      <c r="F150" s="169"/>
      <c r="G150" s="169"/>
      <c r="H150" s="169"/>
      <c r="I150" s="160"/>
      <c r="J150" s="160"/>
      <c r="K150" s="160"/>
      <c r="L150" s="160"/>
      <c r="M150" s="160"/>
      <c r="N150" s="160"/>
      <c r="O150" s="160"/>
      <c r="P150" s="160"/>
      <c r="Q150" s="160"/>
      <c r="R150" s="160"/>
      <c r="S150" s="160"/>
      <c r="T150" s="160"/>
      <c r="U150" s="160"/>
      <c r="V150" s="160"/>
      <c r="W150" s="160"/>
      <c r="X150" s="160"/>
      <c r="Y150" s="161"/>
      <c r="Z150" s="161"/>
      <c r="AA150" s="161"/>
      <c r="AB150" s="73"/>
      <c r="AC150" s="27"/>
    </row>
    <row r="151" customFormat="false" ht="28.5" hidden="false" customHeight="true" outlineLevel="0" collapsed="false">
      <c r="B151" s="24" t="n">
        <f aca="false">IF(OR($E$48="Persona Física",LEN($E$48)&lt;1),1,IF(LEN(E151)&gt;1,1,0))</f>
        <v>1</v>
      </c>
      <c r="C151" s="17" t="str">
        <f aca="false">IF(B151=0,"*","")</f>
        <v/>
      </c>
      <c r="D151" s="80" t="s">
        <v>48</v>
      </c>
      <c r="E151" s="170"/>
      <c r="F151" s="170"/>
      <c r="G151" s="170"/>
      <c r="H151" s="170"/>
      <c r="I151" s="171"/>
      <c r="J151" s="171"/>
      <c r="K151" s="171"/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61"/>
      <c r="Z151" s="161"/>
      <c r="AA151" s="161"/>
      <c r="AB151" s="73"/>
      <c r="AC151" s="27"/>
    </row>
    <row r="152" customFormat="false" ht="27" hidden="false" customHeight="true" outlineLevel="0" collapsed="false">
      <c r="B152" s="24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AC152" s="27"/>
    </row>
    <row r="153" customFormat="false" ht="35.25" hidden="false" customHeight="true" outlineLevel="0" collapsed="false">
      <c r="B153" s="24"/>
      <c r="D153" s="172" t="s">
        <v>152</v>
      </c>
      <c r="E153" s="172"/>
      <c r="F153" s="172"/>
      <c r="G153" s="172"/>
      <c r="H153" s="172"/>
      <c r="I153" s="172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  <c r="AA153" s="172"/>
      <c r="AB153" s="37"/>
      <c r="AC153" s="27"/>
    </row>
    <row r="154" customFormat="false" ht="32.25" hidden="false" customHeight="true" outlineLevel="0" collapsed="false">
      <c r="B154" s="24"/>
      <c r="D154" s="173"/>
      <c r="E154" s="174" t="s">
        <v>153</v>
      </c>
      <c r="F154" s="174"/>
      <c r="G154" s="174"/>
      <c r="H154" s="174"/>
      <c r="I154" s="174" t="s">
        <v>154</v>
      </c>
      <c r="J154" s="174"/>
      <c r="K154" s="174"/>
      <c r="L154" s="174"/>
      <c r="M154" s="174" t="s">
        <v>155</v>
      </c>
      <c r="N154" s="174"/>
      <c r="O154" s="174"/>
      <c r="P154" s="174"/>
      <c r="Q154" s="174" t="s">
        <v>156</v>
      </c>
      <c r="R154" s="174"/>
      <c r="S154" s="174"/>
      <c r="T154" s="174"/>
      <c r="U154" s="174" t="s">
        <v>157</v>
      </c>
      <c r="V154" s="174"/>
      <c r="W154" s="174"/>
      <c r="X154" s="174"/>
      <c r="Y154" s="175" t="s">
        <v>158</v>
      </c>
      <c r="Z154" s="175"/>
      <c r="AA154" s="175"/>
      <c r="AB154" s="159"/>
      <c r="AC154" s="27"/>
    </row>
    <row r="155" customFormat="false" ht="16.5" hidden="false" customHeight="true" outlineLevel="0" collapsed="false">
      <c r="B155" s="24" t="n">
        <f aca="false">IF(LEN(E155)&gt;1,1,0)</f>
        <v>1</v>
      </c>
      <c r="C155" s="17" t="str">
        <f aca="false">IF(B155=0,"*","")</f>
        <v/>
      </c>
      <c r="D155" s="176" t="s">
        <v>46</v>
      </c>
      <c r="E155" s="177" t="s">
        <v>58</v>
      </c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8"/>
      <c r="Z155" s="178"/>
      <c r="AA155" s="178"/>
      <c r="AB155" s="179"/>
      <c r="AC155" s="27"/>
    </row>
    <row r="156" customFormat="false" ht="16.5" hidden="false" customHeight="true" outlineLevel="0" collapsed="false">
      <c r="B156" s="24" t="n">
        <f aca="false">IF(LEN(E156)&gt;1,1,0)</f>
        <v>1</v>
      </c>
      <c r="C156" s="17" t="str">
        <f aca="false">IF(B156=0,"*","")</f>
        <v/>
      </c>
      <c r="D156" s="176" t="s">
        <v>48</v>
      </c>
      <c r="E156" s="177" t="s">
        <v>53</v>
      </c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8"/>
      <c r="Z156" s="178"/>
      <c r="AA156" s="178"/>
      <c r="AB156" s="179"/>
      <c r="AC156" s="27"/>
    </row>
    <row r="157" customFormat="false" ht="16.5" hidden="false" customHeight="true" outlineLevel="0" collapsed="false">
      <c r="B157" s="24" t="n">
        <f aca="false">IF(LEN(E157)&gt;1,1,0)</f>
        <v>1</v>
      </c>
      <c r="C157" s="17" t="str">
        <f aca="false">IF(B157=0,"*","")</f>
        <v/>
      </c>
      <c r="D157" s="176" t="s">
        <v>50</v>
      </c>
      <c r="E157" s="177" t="s">
        <v>51</v>
      </c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8"/>
      <c r="Z157" s="178"/>
      <c r="AA157" s="178"/>
      <c r="AB157" s="179"/>
      <c r="AC157" s="27"/>
    </row>
    <row r="158" customFormat="false" ht="28.5" hidden="false" customHeight="true" outlineLevel="0" collapsed="false">
      <c r="B158" s="24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79"/>
      <c r="Z158" s="179"/>
      <c r="AA158" s="181"/>
      <c r="AB158" s="179"/>
      <c r="AC158" s="27"/>
    </row>
    <row r="159" customFormat="false" ht="16.5" hidden="false" customHeight="true" outlineLevel="0" collapsed="false">
      <c r="B159" s="24"/>
      <c r="D159" s="182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179"/>
      <c r="Z159" s="179"/>
      <c r="AA159" s="179"/>
      <c r="AB159" s="179"/>
      <c r="AC159" s="27"/>
    </row>
    <row r="160" customFormat="false" ht="27.75" hidden="false" customHeight="true" outlineLevel="0" collapsed="false">
      <c r="B160" s="24"/>
      <c r="D160" s="183"/>
      <c r="E160" s="41"/>
      <c r="F160" s="41"/>
      <c r="G160" s="41"/>
      <c r="H160" s="4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41"/>
      <c r="AC160" s="27"/>
    </row>
    <row r="161" customFormat="false" ht="33.75" hidden="false" customHeight="true" outlineLevel="0" collapsed="false">
      <c r="B161" s="24" t="n">
        <f aca="false">SUM(B162:B227)/COUNT(B162:B227)</f>
        <v>1</v>
      </c>
      <c r="C161" s="17" t="str">
        <f aca="false">IF(B161=0,"*","")</f>
        <v/>
      </c>
      <c r="D161" s="70" t="s">
        <v>159</v>
      </c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83"/>
      <c r="AC161" s="27"/>
    </row>
    <row r="162" customFormat="false" ht="36" hidden="false" customHeight="true" outlineLevel="0" collapsed="false">
      <c r="B162" s="24" t="n">
        <f aca="false">IF(OR($E$48="Persona Física",LEN($E$48)&lt;1),1,IF(LEN(E162)&gt;1,1,0))</f>
        <v>1</v>
      </c>
      <c r="C162" s="17" t="str">
        <f aca="false">IF(B162=0,"*","")</f>
        <v/>
      </c>
      <c r="D162" s="184" t="str">
        <f aca="false">IF(OR($E$48="Persona Física",LEN($E$48)&lt;1),"","Los accionistas actuales tomaron el control de la empresa desde el año:")</f>
        <v/>
      </c>
      <c r="E162" s="105"/>
      <c r="F162" s="105"/>
      <c r="G162" s="105"/>
      <c r="H162" s="10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41"/>
      <c r="AC162" s="27"/>
    </row>
    <row r="163" customFormat="false" ht="26.25" hidden="false" customHeight="false" outlineLevel="0" collapsed="false">
      <c r="B163" s="24" t="n">
        <f aca="false">IF(LEN(E163)&gt;1,1,0)</f>
        <v>1</v>
      </c>
      <c r="C163" s="17" t="str">
        <f aca="false">IF(B163=0,"*","")</f>
        <v/>
      </c>
      <c r="D163" s="74" t="s">
        <v>160</v>
      </c>
      <c r="E163" s="110" t="s">
        <v>67</v>
      </c>
      <c r="F163" s="110"/>
      <c r="G163" s="110"/>
      <c r="H163" s="110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41"/>
      <c r="AC163" s="27"/>
    </row>
    <row r="164" customFormat="false" ht="22.5" hidden="false" customHeight="true" outlineLevel="0" collapsed="false">
      <c r="B164" s="24" t="n">
        <f aca="false">IF(OR($E$163="No",LEN($E$163)&lt;1),1,IF(LEN(E164)&gt;1,1,0))</f>
        <v>1</v>
      </c>
      <c r="C164" s="17" t="str">
        <f aca="false">IF(B164=0,"*","")</f>
        <v/>
      </c>
      <c r="D164" s="74" t="s">
        <v>161</v>
      </c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86"/>
      <c r="AC164" s="27"/>
    </row>
    <row r="165" customFormat="false" ht="26.25" hidden="false" customHeight="false" outlineLevel="0" collapsed="false">
      <c r="B165" s="24" t="n">
        <f aca="false">IF(OR($E$163="No",LEN($E$163)&lt;1),1,IF(LEN(E165)&gt;1,1,0))</f>
        <v>1</v>
      </c>
      <c r="C165" s="17" t="str">
        <f aca="false">IF(B165=0,"*","")</f>
        <v/>
      </c>
      <c r="D165" s="74" t="s">
        <v>162</v>
      </c>
      <c r="E165" s="110"/>
      <c r="F165" s="110"/>
      <c r="G165" s="110"/>
      <c r="H165" s="110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86"/>
      <c r="V165" s="186"/>
      <c r="W165" s="186"/>
      <c r="X165" s="186"/>
      <c r="Y165" s="186"/>
      <c r="Z165" s="186"/>
      <c r="AA165" s="186"/>
      <c r="AB165" s="36"/>
      <c r="AC165" s="27"/>
    </row>
    <row r="166" customFormat="false" ht="26.25" hidden="false" customHeight="false" outlineLevel="0" collapsed="false">
      <c r="B166" s="24" t="n">
        <f aca="false">IF(LEN(E166)&gt;1,1,0)</f>
        <v>1</v>
      </c>
      <c r="C166" s="17" t="str">
        <f aca="false">IF(B166=0,"*","")</f>
        <v/>
      </c>
      <c r="D166" s="74" t="s">
        <v>163</v>
      </c>
      <c r="E166" s="110" t="s">
        <v>67</v>
      </c>
      <c r="F166" s="110"/>
      <c r="G166" s="110"/>
      <c r="H166" s="110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86"/>
      <c r="V166" s="186"/>
      <c r="W166" s="186"/>
      <c r="X166" s="186"/>
      <c r="Y166" s="186"/>
      <c r="Z166" s="186"/>
      <c r="AA166" s="186"/>
      <c r="AB166" s="36"/>
      <c r="AC166" s="27"/>
    </row>
    <row r="167" customFormat="false" ht="26.25" hidden="false" customHeight="false" outlineLevel="0" collapsed="false">
      <c r="B167" s="24" t="n">
        <f aca="false">IF(OR($E$48="Persona Física",LEN($E$48)&lt;1),1,IF(LEN(E167)&gt;1,1,0))</f>
        <v>1</v>
      </c>
      <c r="C167" s="17" t="str">
        <f aca="false">IF(B167=0,"*","")</f>
        <v/>
      </c>
      <c r="D167" s="74" t="str">
        <f aca="false">IF(OR($E$48="Persona Física",LEN($E$48)&lt;1),"","¿Tiene compañías subsidiarias?")</f>
        <v/>
      </c>
      <c r="E167" s="110"/>
      <c r="F167" s="110"/>
      <c r="G167" s="110"/>
      <c r="H167" s="110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86"/>
      <c r="V167" s="186"/>
      <c r="W167" s="186"/>
      <c r="X167" s="186"/>
      <c r="Y167" s="186"/>
      <c r="Z167" s="186"/>
      <c r="AA167" s="186"/>
      <c r="AB167" s="36"/>
      <c r="AC167" s="27"/>
    </row>
    <row r="168" customFormat="false" ht="26.25" hidden="false" customHeight="false" outlineLevel="0" collapsed="false">
      <c r="B168" s="24" t="n">
        <f aca="false">IF(OR($E$48="Persona Física",LEN($E$48)&lt;1),1,IF(LEN(E168)&gt;1,1,0))</f>
        <v>1</v>
      </c>
      <c r="C168" s="17" t="str">
        <f aca="false">IF(B168=0,"*","")</f>
        <v/>
      </c>
      <c r="D168" s="74" t="str">
        <f aca="false">IF(OR($E$48="Persona Física",LEN($E$48)&lt;1),"","¿Tiene compañías filiales?")</f>
        <v/>
      </c>
      <c r="E168" s="110"/>
      <c r="F168" s="110"/>
      <c r="G168" s="110"/>
      <c r="H168" s="110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86"/>
      <c r="V168" s="186"/>
      <c r="W168" s="186"/>
      <c r="X168" s="186"/>
      <c r="Y168" s="186"/>
      <c r="Z168" s="186"/>
      <c r="AA168" s="186"/>
      <c r="AB168" s="36"/>
      <c r="AC168" s="27"/>
    </row>
    <row r="169" customFormat="false" ht="26.25" hidden="false" customHeight="false" outlineLevel="0" collapsed="false">
      <c r="B169" s="24" t="n">
        <f aca="false">IF(LEN(E169)&gt;1,1,0)</f>
        <v>1</v>
      </c>
      <c r="C169" s="17" t="str">
        <f aca="false">IF(B169=0,"*","")</f>
        <v/>
      </c>
      <c r="D169" s="74" t="s">
        <v>164</v>
      </c>
      <c r="E169" s="110" t="s">
        <v>67</v>
      </c>
      <c r="F169" s="110"/>
      <c r="G169" s="110"/>
      <c r="H169" s="110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86"/>
      <c r="V169" s="186"/>
      <c r="W169" s="186"/>
      <c r="X169" s="186"/>
      <c r="Y169" s="186"/>
      <c r="Z169" s="186"/>
      <c r="AA169" s="186"/>
      <c r="AB169" s="36"/>
      <c r="AC169" s="27"/>
    </row>
    <row r="170" customFormat="false" ht="26.25" hidden="false" customHeight="false" outlineLevel="0" collapsed="false">
      <c r="B170" s="24" t="n">
        <f aca="false">IF(OR(E169="No",LEN(E169)&lt;1),1,IF(LEN(E170)&gt;0,1,0))</f>
        <v>1</v>
      </c>
      <c r="C170" s="17" t="str">
        <f aca="false">IF(B170=0,"*","")</f>
        <v/>
      </c>
      <c r="D170" s="80" t="str">
        <f aca="false">IF(OR(E169="No",LEN(E169)&lt;1),"","Número total de sucursales:")</f>
        <v/>
      </c>
      <c r="E170" s="112"/>
      <c r="F170" s="112"/>
      <c r="G170" s="112"/>
      <c r="H170" s="112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86"/>
      <c r="V170" s="186"/>
      <c r="W170" s="186"/>
      <c r="X170" s="186"/>
      <c r="Y170" s="186"/>
      <c r="Z170" s="186"/>
      <c r="AA170" s="186"/>
      <c r="AB170" s="36"/>
      <c r="AC170" s="27"/>
    </row>
    <row r="171" customFormat="false" ht="28.5" hidden="false" customHeight="true" outlineLevel="0" collapsed="false">
      <c r="B171" s="24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  <c r="AB171" s="36"/>
      <c r="AC171" s="27"/>
    </row>
    <row r="172" customFormat="false" ht="33" hidden="false" customHeight="true" outlineLevel="0" collapsed="false">
      <c r="B172" s="24"/>
      <c r="D172" s="34" t="str">
        <f aca="false">IF(OR($E$48="Persona Física",LEN($E$48)&lt;1,$E$166="No",LEN($E$166)&lt;1),"NA","COMPAÑÍA CONTROLADORA (MATRIZ)")</f>
        <v>NA</v>
      </c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7"/>
      <c r="AC172" s="27"/>
    </row>
    <row r="173" s="188" customFormat="true" ht="26.25" hidden="false" customHeight="false" outlineLevel="0" collapsed="false">
      <c r="B173" s="24" t="n">
        <f aca="false">IF(OR($E$48="Persona Física",LEN($E$48)&lt;1,$E$166="No",LEN($E$166)&lt;1),1,IF(LEN(E173)&gt;1,1,0))</f>
        <v>1</v>
      </c>
      <c r="C173" s="17" t="str">
        <f aca="false">IF(B173=0,"*","")</f>
        <v/>
      </c>
      <c r="D173" s="71" t="s">
        <v>57</v>
      </c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90"/>
      <c r="AC173" s="191"/>
    </row>
    <row r="174" s="188" customFormat="true" ht="26.25" hidden="false" customHeight="false" outlineLevel="0" collapsed="false">
      <c r="B174" s="24" t="n">
        <f aca="false">IF(OR($E$48="Persona Física",LEN($E$48)&lt;1,$E$166="No",LEN($E$166)&lt;1),1,IF(LEN(E174)&gt;1,1,0))</f>
        <v>1</v>
      </c>
      <c r="C174" s="17" t="str">
        <f aca="false">IF(B174=0,"*","")</f>
        <v/>
      </c>
      <c r="D174" s="74" t="s">
        <v>165</v>
      </c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3"/>
      <c r="AC174" s="191"/>
    </row>
    <row r="175" s="188" customFormat="true" ht="26.25" hidden="false" customHeight="false" outlineLevel="0" collapsed="false">
      <c r="B175" s="24" t="n">
        <f aca="false">IF(OR($E$48="Persona Física",LEN($E$48)&lt;1,$E$166="No",LEN($E$166)&lt;1),1,IF(LEN(E175)&gt;1,1,0))</f>
        <v>1</v>
      </c>
      <c r="C175" s="17" t="str">
        <f aca="false">IF(B175=0,"*","")</f>
        <v/>
      </c>
      <c r="D175" s="74" t="s">
        <v>83</v>
      </c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3"/>
      <c r="AC175" s="191"/>
    </row>
    <row r="176" s="188" customFormat="true" ht="26.25" hidden="false" customHeight="false" outlineLevel="0" collapsed="false">
      <c r="B176" s="24" t="n">
        <f aca="false">IF(OR($E$48="Persona Física",LEN($E$48)&lt;1,$E$166="No",LEN($E$166)&lt;1),1,IF(LEN(E176)&gt;1,1,0))</f>
        <v>1</v>
      </c>
      <c r="C176" s="17" t="str">
        <f aca="false">IF(B176=0,"*","")</f>
        <v/>
      </c>
      <c r="D176" s="74" t="s">
        <v>102</v>
      </c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3"/>
      <c r="AC176" s="191"/>
    </row>
    <row r="177" s="188" customFormat="true" ht="26.25" hidden="false" customHeight="false" outlineLevel="0" collapsed="false">
      <c r="B177" s="24" t="n">
        <f aca="false">IF(OR($E$48="Persona Física",LEN($E$48)&lt;1,$E$166="No",LEN($E$166)&lt;1),1,IF(LEN(E177)&gt;1,1,0))</f>
        <v>1</v>
      </c>
      <c r="C177" s="17" t="str">
        <f aca="false">IF(B177=0,"*","")</f>
        <v/>
      </c>
      <c r="D177" s="74" t="s">
        <v>103</v>
      </c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3"/>
      <c r="AC177" s="191"/>
    </row>
    <row r="178" s="188" customFormat="true" ht="26.25" hidden="false" customHeight="false" outlineLevel="0" collapsed="false">
      <c r="B178" s="24" t="n">
        <f aca="false">IF(OR($E$48="Persona Física",LEN($E$48)&lt;1,$E$166="No",LEN($E$166)&lt;1),1,IF(LEN(E178)&gt;1,1,0))</f>
        <v>1</v>
      </c>
      <c r="C178" s="17" t="str">
        <f aca="false">IF(B178=0,"*","")</f>
        <v/>
      </c>
      <c r="D178" s="74" t="s">
        <v>104</v>
      </c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3"/>
      <c r="AC178" s="191"/>
    </row>
    <row r="179" s="188" customFormat="true" ht="26.25" hidden="false" customHeight="false" outlineLevel="0" collapsed="false">
      <c r="B179" s="24" t="n">
        <f aca="false">IF(OR($E$48="Persona Física",LEN($E$48)&lt;1,$E$166="No",LEN($E$166)&lt;1),1,IF(LEN(E179)&gt;1,1,0))</f>
        <v>1</v>
      </c>
      <c r="C179" s="17" t="str">
        <f aca="false">IF(B179=0,"*","")</f>
        <v/>
      </c>
      <c r="D179" s="74" t="s">
        <v>166</v>
      </c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3"/>
      <c r="AC179" s="191"/>
    </row>
    <row r="180" s="188" customFormat="true" ht="26.25" hidden="false" customHeight="false" outlineLevel="0" collapsed="false">
      <c r="B180" s="24" t="n">
        <f aca="false">IF(OR($E$48="Persona Física",LEN($E$48)&lt;1,$E$166="No",LEN($E$166)&lt;1),1,IF(LEN(E180)&gt;1,1,0))</f>
        <v>1</v>
      </c>
      <c r="C180" s="17" t="str">
        <f aca="false">IF(B180=0,"*","")</f>
        <v/>
      </c>
      <c r="D180" s="74" t="s">
        <v>167</v>
      </c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3"/>
      <c r="AC180" s="191"/>
    </row>
    <row r="181" s="188" customFormat="true" ht="26.25" hidden="false" customHeight="false" outlineLevel="0" collapsed="false">
      <c r="B181" s="24" t="n">
        <f aca="false">IF(OR($E$48="Persona Física",LEN($E$48)&lt;1,$E$166="No",LEN($E$166)&lt;1),1,IF(LEN(E181)&gt;1,1,0))</f>
        <v>1</v>
      </c>
      <c r="C181" s="17" t="str">
        <f aca="false">IF(B181=0,"*","")</f>
        <v/>
      </c>
      <c r="D181" s="74" t="s">
        <v>88</v>
      </c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3"/>
      <c r="AC181" s="191"/>
    </row>
    <row r="182" s="188" customFormat="true" ht="26.25" hidden="false" customHeight="false" outlineLevel="0" collapsed="false">
      <c r="B182" s="24" t="n">
        <f aca="false">IF(OR($E$48="Persona Física",LEN($E$48)&lt;1,$E$166="No",LEN($E$166)&lt;1),1,IF(LEN(E182)&gt;1,1,0))</f>
        <v>1</v>
      </c>
      <c r="C182" s="17" t="str">
        <f aca="false">IF(B182=0,"*","")</f>
        <v/>
      </c>
      <c r="D182" s="74" t="s">
        <v>168</v>
      </c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3"/>
      <c r="AC182" s="191"/>
    </row>
    <row r="183" s="188" customFormat="true" ht="26.25" hidden="false" customHeight="false" outlineLevel="0" collapsed="false">
      <c r="B183" s="24" t="n">
        <f aca="false">IF(OR($E$48="Persona Física",LEN($E$48)&lt;1,$E$166="No",LEN($E$166)&lt;1),1,IF(LEN(E183)&gt;1,1,0))</f>
        <v>1</v>
      </c>
      <c r="C183" s="17" t="str">
        <f aca="false">IF(B183=0,"*","")</f>
        <v/>
      </c>
      <c r="D183" s="74" t="s">
        <v>169</v>
      </c>
      <c r="E183" s="194"/>
      <c r="F183" s="194"/>
      <c r="G183" s="194"/>
      <c r="H183" s="194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  <c r="AA183" s="195"/>
      <c r="AB183" s="193"/>
      <c r="AC183" s="191"/>
    </row>
    <row r="184" s="188" customFormat="true" ht="26.25" hidden="false" customHeight="false" outlineLevel="0" collapsed="false">
      <c r="B184" s="24" t="n">
        <f aca="false">IF(OR($E$48="Persona Física",LEN($E$48)&lt;1,$E$166="No",LEN($E$166)&lt;1),1,IF(LEN(E184)&gt;1,1,0))</f>
        <v>1</v>
      </c>
      <c r="C184" s="17" t="str">
        <f aca="false">IF(B184=0,"*","")</f>
        <v/>
      </c>
      <c r="D184" s="80" t="s">
        <v>170</v>
      </c>
      <c r="E184" s="196"/>
      <c r="F184" s="196"/>
      <c r="G184" s="196"/>
      <c r="H184" s="196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  <c r="AA184" s="195"/>
      <c r="AB184" s="193"/>
      <c r="AC184" s="191"/>
    </row>
    <row r="185" s="188" customFormat="true" ht="34.5" hidden="false" customHeight="true" outlineLevel="0" collapsed="false">
      <c r="B185" s="24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91"/>
    </row>
    <row r="186" customFormat="false" ht="33" hidden="false" customHeight="true" outlineLevel="0" collapsed="false">
      <c r="B186" s="24"/>
      <c r="D186" s="34" t="str">
        <f aca="false">IF(OR($E$48="Persona Física",LEN($E$48)&lt;1,$E$167="No",LEN($E$167)&lt;1),"NA","COMPAÑÍAS SUBSIDIARIAS")</f>
        <v>NA</v>
      </c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7"/>
      <c r="AC186" s="27"/>
    </row>
    <row r="187" s="36" customFormat="true" ht="29.25" hidden="false" customHeight="true" outlineLevel="0" collapsed="false">
      <c r="B187" s="24"/>
      <c r="C187" s="17"/>
      <c r="D187" s="197"/>
      <c r="E187" s="157" t="s">
        <v>171</v>
      </c>
      <c r="F187" s="157"/>
      <c r="G187" s="157"/>
      <c r="H187" s="157"/>
      <c r="I187" s="157" t="s">
        <v>172</v>
      </c>
      <c r="J187" s="157"/>
      <c r="K187" s="157"/>
      <c r="L187" s="157"/>
      <c r="M187" s="157" t="s">
        <v>173</v>
      </c>
      <c r="N187" s="157"/>
      <c r="O187" s="157"/>
      <c r="P187" s="157"/>
      <c r="Q187" s="157" t="s">
        <v>174</v>
      </c>
      <c r="R187" s="157"/>
      <c r="S187" s="157"/>
      <c r="T187" s="157"/>
      <c r="U187" s="157" t="s">
        <v>175</v>
      </c>
      <c r="V187" s="157"/>
      <c r="W187" s="157"/>
      <c r="X187" s="157"/>
      <c r="Y187" s="198" t="s">
        <v>176</v>
      </c>
      <c r="Z187" s="198"/>
      <c r="AA187" s="198"/>
      <c r="AB187" s="199"/>
      <c r="AC187" s="200"/>
    </row>
    <row r="188" customFormat="false" ht="27" hidden="false" customHeight="true" outlineLevel="0" collapsed="false">
      <c r="B188" s="24" t="n">
        <f aca="false">IF(OR($E$48="Persona Física",LEN($E$48)&lt;1,$E$167="No",LEN($E$167)&lt;1),1,IF(LEN(E188)&gt;1,1,0))</f>
        <v>1</v>
      </c>
      <c r="C188" s="17" t="str">
        <f aca="false">IF(B188=0,"*","")</f>
        <v/>
      </c>
      <c r="D188" s="201" t="s">
        <v>57</v>
      </c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3"/>
      <c r="Z188" s="203"/>
      <c r="AA188" s="203"/>
      <c r="AB188" s="73"/>
      <c r="AC188" s="27"/>
    </row>
    <row r="189" customFormat="false" ht="27" hidden="false" customHeight="true" outlineLevel="0" collapsed="false">
      <c r="B189" s="24" t="n">
        <f aca="false">IF(OR($E$48="Persona Física",LEN($E$48)&lt;1,$E$167="No",LEN($E$167)&lt;1),1,IF(LEN(E189)&gt;1,1,0))</f>
        <v>1</v>
      </c>
      <c r="C189" s="17" t="str">
        <f aca="false">IF(B189=0,"*","")</f>
        <v/>
      </c>
      <c r="D189" s="201" t="s">
        <v>177</v>
      </c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5"/>
      <c r="Z189" s="205"/>
      <c r="AA189" s="205"/>
      <c r="AB189" s="73"/>
      <c r="AC189" s="27"/>
    </row>
    <row r="190" customFormat="false" ht="26.25" hidden="false" customHeight="false" outlineLevel="0" collapsed="false">
      <c r="B190" s="24" t="n">
        <f aca="false">IF(OR($E$48="Persona Física",LEN($E$48)&lt;1,$E$167="No",LEN($E$167)&lt;1),1,IF(LEN(E190)&gt;1,1,0))</f>
        <v>1</v>
      </c>
      <c r="C190" s="17" t="str">
        <f aca="false">IF(B190=0,"*","")</f>
        <v/>
      </c>
      <c r="D190" s="201" t="s">
        <v>165</v>
      </c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3"/>
      <c r="Z190" s="203"/>
      <c r="AA190" s="203"/>
      <c r="AB190" s="73"/>
      <c r="AC190" s="27"/>
    </row>
    <row r="191" customFormat="false" ht="26.25" hidden="false" customHeight="false" outlineLevel="0" collapsed="false">
      <c r="B191" s="24" t="n">
        <f aca="false">IF(OR($E$48="Persona Física",LEN($E$48)&lt;1,$E$167="No",LEN($E$167)&lt;1),1,IF(LEN(E191)&gt;1,1,0))</f>
        <v>1</v>
      </c>
      <c r="C191" s="17" t="str">
        <f aca="false">IF(B191=0,"*","")</f>
        <v/>
      </c>
      <c r="D191" s="201" t="s">
        <v>83</v>
      </c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3"/>
      <c r="Z191" s="203"/>
      <c r="AA191" s="203"/>
      <c r="AB191" s="73"/>
      <c r="AC191" s="27"/>
    </row>
    <row r="192" customFormat="false" ht="26.25" hidden="false" customHeight="false" outlineLevel="0" collapsed="false">
      <c r="B192" s="24" t="n">
        <f aca="false">IF(OR($E$48="Persona Física",LEN($E$48)&lt;1,$E$167="No",LEN($E$167)&lt;1),1,IF(LEN(E192)&gt;1,1,0))</f>
        <v>1</v>
      </c>
      <c r="C192" s="17" t="str">
        <f aca="false">IF(B192=0,"*","")</f>
        <v/>
      </c>
      <c r="D192" s="201" t="s">
        <v>178</v>
      </c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3"/>
      <c r="Z192" s="203"/>
      <c r="AA192" s="203"/>
      <c r="AB192" s="73"/>
      <c r="AC192" s="27"/>
    </row>
    <row r="193" customFormat="false" ht="26.25" hidden="false" customHeight="false" outlineLevel="0" collapsed="false">
      <c r="B193" s="24" t="n">
        <f aca="false">IF(OR($E$48="Persona Física",LEN($E$48)&lt;1,$E$167="No",LEN($E$167)&lt;1),1,IF(LEN(E193)&gt;1,1,0))</f>
        <v>1</v>
      </c>
      <c r="C193" s="17" t="str">
        <f aca="false">IF(B193=0,"*","")</f>
        <v/>
      </c>
      <c r="D193" s="201" t="s">
        <v>179</v>
      </c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3"/>
      <c r="Z193" s="203"/>
      <c r="AA193" s="203"/>
      <c r="AB193" s="73"/>
      <c r="AC193" s="27"/>
    </row>
    <row r="194" customFormat="false" ht="26.25" hidden="false" customHeight="false" outlineLevel="0" collapsed="false">
      <c r="B194" s="24" t="n">
        <f aca="false">IF(OR($E$48="Persona Física",LEN($E$48)&lt;1,$E$167="No",LEN($E$167)&lt;1),1,IF(LEN(E194)&gt;1,1,0))</f>
        <v>1</v>
      </c>
      <c r="C194" s="17" t="str">
        <f aca="false">IF(B194=0,"*","")</f>
        <v/>
      </c>
      <c r="D194" s="201" t="s">
        <v>104</v>
      </c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3"/>
      <c r="Z194" s="203"/>
      <c r="AA194" s="203"/>
      <c r="AB194" s="73"/>
      <c r="AC194" s="27"/>
    </row>
    <row r="195" customFormat="false" ht="26.25" hidden="false" customHeight="false" outlineLevel="0" collapsed="false">
      <c r="B195" s="24" t="n">
        <f aca="false">IF(OR($E$48="Persona Física",LEN($E$48)&lt;1,$E$167="No",LEN($E$167)&lt;1),1,IF(LEN(E195)&gt;1,1,0))</f>
        <v>1</v>
      </c>
      <c r="C195" s="17" t="str">
        <f aca="false">IF(B195=0,"*","")</f>
        <v/>
      </c>
      <c r="D195" s="201" t="s">
        <v>105</v>
      </c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3"/>
      <c r="Z195" s="203"/>
      <c r="AA195" s="203"/>
      <c r="AB195" s="73"/>
      <c r="AC195" s="27"/>
    </row>
    <row r="196" customFormat="false" ht="26.25" hidden="false" customHeight="false" outlineLevel="0" collapsed="false">
      <c r="B196" s="24" t="n">
        <f aca="false">IF(OR($E$48="Persona Física",LEN($E$48)&lt;1,$E$167="No",LEN($E$167)&lt;1),1,IF(LEN(E196)&gt;1,1,0))</f>
        <v>1</v>
      </c>
      <c r="C196" s="17" t="str">
        <f aca="false">IF(B196=0,"*","")</f>
        <v/>
      </c>
      <c r="D196" s="201" t="s">
        <v>180</v>
      </c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3"/>
      <c r="Z196" s="203"/>
      <c r="AA196" s="203"/>
      <c r="AB196" s="73"/>
      <c r="AC196" s="27"/>
    </row>
    <row r="197" customFormat="false" ht="26.25" hidden="false" customHeight="false" outlineLevel="0" collapsed="false">
      <c r="B197" s="24" t="n">
        <f aca="false">IF(OR($E$48="Persona Física",LEN($E$48)&lt;1,$E$167="No",LEN($E$167)&lt;1),1,IF(LEN(E197)&gt;1,1,0))</f>
        <v>1</v>
      </c>
      <c r="C197" s="17" t="str">
        <f aca="false">IF(B197=0,"*","")</f>
        <v/>
      </c>
      <c r="D197" s="201" t="s">
        <v>88</v>
      </c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3"/>
      <c r="Z197" s="203"/>
      <c r="AA197" s="203"/>
      <c r="AB197" s="73"/>
      <c r="AC197" s="27"/>
    </row>
    <row r="198" customFormat="false" ht="26.25" hidden="false" customHeight="false" outlineLevel="0" collapsed="false">
      <c r="B198" s="24" t="n">
        <f aca="false">IF(OR($E$48="Persona Física",LEN($E$48)&lt;1,$E$167="No",LEN($E$167)&lt;1),1,IF(LEN(E198)&gt;1,1,0))</f>
        <v>1</v>
      </c>
      <c r="C198" s="17" t="str">
        <f aca="false">IF(B198=0,"*","")</f>
        <v/>
      </c>
      <c r="D198" s="201" t="s">
        <v>107</v>
      </c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3"/>
      <c r="Z198" s="203"/>
      <c r="AA198" s="203"/>
      <c r="AB198" s="73"/>
      <c r="AC198" s="27"/>
    </row>
    <row r="199" customFormat="false" ht="26.25" hidden="false" customHeight="false" outlineLevel="0" collapsed="false">
      <c r="B199" s="24" t="n">
        <f aca="false">IF(OR($E$48="Persona Física",LEN($E$48)&lt;1,$E$167="No",LEN($E$167)&lt;1),1,IF(LEN(E199)&gt;1,1,0))</f>
        <v>1</v>
      </c>
      <c r="C199" s="17" t="str">
        <f aca="false">IF(B199=0,"*","")</f>
        <v/>
      </c>
      <c r="D199" s="201" t="s">
        <v>93</v>
      </c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3"/>
      <c r="Z199" s="203"/>
      <c r="AA199" s="203"/>
      <c r="AB199" s="73"/>
      <c r="AC199" s="27"/>
    </row>
    <row r="200" customFormat="false" ht="26.25" hidden="false" customHeight="false" outlineLevel="0" collapsed="false">
      <c r="B200" s="24" t="n">
        <f aca="false">IF(OR($E$48="Persona Física",LEN($E$48)&lt;1,$E$167="No",LEN($E$167)&lt;1),1,IF(LEN(E200)&gt;1,1,0))</f>
        <v>1</v>
      </c>
      <c r="C200" s="17" t="str">
        <f aca="false">IF(B200=0,"*","")</f>
        <v/>
      </c>
      <c r="D200" s="201" t="s">
        <v>181</v>
      </c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3"/>
      <c r="Z200" s="203"/>
      <c r="AA200" s="203"/>
      <c r="AB200" s="73"/>
      <c r="AC200" s="27"/>
    </row>
    <row r="201" customFormat="false" ht="26.25" hidden="false" customHeight="false" outlineLevel="0" collapsed="false">
      <c r="B201" s="24" t="n">
        <f aca="false">IF(OR($E$48="Persona Física",LEN($E$48)&lt;1,$E$167="No",LEN($E$167)&lt;1),1,IF(LEN(E201)&gt;1,1,0))</f>
        <v>1</v>
      </c>
      <c r="C201" s="17" t="str">
        <f aca="false">IF(B201=0,"*","")</f>
        <v/>
      </c>
      <c r="D201" s="201" t="s">
        <v>168</v>
      </c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3"/>
      <c r="Z201" s="203"/>
      <c r="AA201" s="203"/>
      <c r="AB201" s="73"/>
      <c r="AC201" s="27"/>
    </row>
    <row r="202" customFormat="false" ht="26.25" hidden="false" customHeight="false" outlineLevel="0" collapsed="false">
      <c r="B202" s="24" t="n">
        <f aca="false">IF(OR($E$48="Persona Física",LEN($E$48)&lt;1,$E$167="No",LEN($E$167)&lt;1),1,IF(LEN(E202)&gt;1,1,0))</f>
        <v>1</v>
      </c>
      <c r="C202" s="17" t="str">
        <f aca="false">IF(B202=0,"*","")</f>
        <v/>
      </c>
      <c r="D202" s="206" t="s">
        <v>170</v>
      </c>
      <c r="E202" s="207"/>
      <c r="F202" s="207"/>
      <c r="G202" s="207"/>
      <c r="H202" s="207"/>
      <c r="I202" s="207"/>
      <c r="J202" s="207"/>
      <c r="K202" s="207"/>
      <c r="L202" s="207"/>
      <c r="M202" s="207"/>
      <c r="N202" s="207"/>
      <c r="O202" s="207"/>
      <c r="P202" s="207"/>
      <c r="Q202" s="207"/>
      <c r="R202" s="207"/>
      <c r="S202" s="207"/>
      <c r="T202" s="207"/>
      <c r="U202" s="207"/>
      <c r="V202" s="207"/>
      <c r="W202" s="207"/>
      <c r="X202" s="207"/>
      <c r="Y202" s="208"/>
      <c r="Z202" s="208"/>
      <c r="AA202" s="208"/>
      <c r="AB202" s="193"/>
      <c r="AC202" s="27"/>
    </row>
    <row r="203" customFormat="false" ht="46.5" hidden="false" customHeight="true" outlineLevel="0" collapsed="false">
      <c r="B203" s="24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7"/>
    </row>
    <row r="204" customFormat="false" ht="34.5" hidden="false" customHeight="true" outlineLevel="0" collapsed="false">
      <c r="B204" s="24"/>
      <c r="D204" s="34" t="str">
        <f aca="false">IF(OR($E$48="Persona Física",LEN($E$48)&lt;1,$E$168="No",LEN($E$168)&lt;1),"NA","COMPAÑÍAS FILIALES")</f>
        <v>NA</v>
      </c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7"/>
      <c r="AC204" s="27"/>
    </row>
    <row r="205" customFormat="false" ht="25.5" hidden="false" customHeight="true" outlineLevel="0" collapsed="false">
      <c r="B205" s="24"/>
      <c r="D205" s="210"/>
      <c r="E205" s="157" t="s">
        <v>182</v>
      </c>
      <c r="F205" s="157"/>
      <c r="G205" s="157"/>
      <c r="H205" s="157"/>
      <c r="I205" s="157" t="s">
        <v>183</v>
      </c>
      <c r="J205" s="157"/>
      <c r="K205" s="157"/>
      <c r="L205" s="157"/>
      <c r="M205" s="157" t="s">
        <v>184</v>
      </c>
      <c r="N205" s="157"/>
      <c r="O205" s="157"/>
      <c r="P205" s="157"/>
      <c r="Q205" s="157" t="s">
        <v>185</v>
      </c>
      <c r="R205" s="157"/>
      <c r="S205" s="157"/>
      <c r="T205" s="157"/>
      <c r="U205" s="157" t="s">
        <v>186</v>
      </c>
      <c r="V205" s="157"/>
      <c r="W205" s="157"/>
      <c r="X205" s="157"/>
      <c r="Y205" s="198" t="s">
        <v>187</v>
      </c>
      <c r="Z205" s="198"/>
      <c r="AA205" s="198"/>
      <c r="AB205" s="199"/>
      <c r="AC205" s="27"/>
    </row>
    <row r="206" customFormat="false" ht="26.25" hidden="false" customHeight="false" outlineLevel="0" collapsed="false">
      <c r="B206" s="24" t="n">
        <f aca="false">IF(OR($E$168="No",LEN($E$168)&lt;1),1,IF(LEN(E206)&gt;1,1,0))</f>
        <v>1</v>
      </c>
      <c r="C206" s="17" t="str">
        <f aca="false">IF(B206=0,"*","")</f>
        <v/>
      </c>
      <c r="D206" s="74" t="s">
        <v>57</v>
      </c>
      <c r="E206" s="211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211"/>
      <c r="R206" s="211"/>
      <c r="S206" s="211"/>
      <c r="T206" s="211"/>
      <c r="U206" s="211"/>
      <c r="V206" s="211"/>
      <c r="W206" s="211"/>
      <c r="X206" s="211"/>
      <c r="Y206" s="212"/>
      <c r="Z206" s="212"/>
      <c r="AA206" s="212"/>
      <c r="AB206" s="73"/>
      <c r="AC206" s="27"/>
    </row>
    <row r="207" customFormat="false" ht="26.25" hidden="false" customHeight="false" outlineLevel="0" collapsed="false">
      <c r="B207" s="24" t="n">
        <f aca="false">IF(OR($E$168="No",LEN($E$168)&lt;1),1,IF(LEN(E207)&gt;1,1,0))</f>
        <v>1</v>
      </c>
      <c r="C207" s="17" t="str">
        <f aca="false">IF(B207=0,"*","")</f>
        <v/>
      </c>
      <c r="D207" s="74" t="s">
        <v>165</v>
      </c>
      <c r="E207" s="211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211"/>
      <c r="R207" s="211"/>
      <c r="S207" s="211"/>
      <c r="T207" s="211"/>
      <c r="U207" s="211"/>
      <c r="V207" s="211"/>
      <c r="W207" s="211"/>
      <c r="X207" s="211"/>
      <c r="Y207" s="212"/>
      <c r="Z207" s="212"/>
      <c r="AA207" s="212"/>
      <c r="AB207" s="73"/>
      <c r="AC207" s="27"/>
    </row>
    <row r="208" customFormat="false" ht="26.25" hidden="false" customHeight="false" outlineLevel="0" collapsed="false">
      <c r="B208" s="24" t="n">
        <f aca="false">IF(OR($E$168="No",LEN($E$168)&lt;1),1,IF(LEN(E208)&gt;1,1,0))</f>
        <v>1</v>
      </c>
      <c r="C208" s="17" t="str">
        <f aca="false">IF(B208=0,"*","")</f>
        <v/>
      </c>
      <c r="D208" s="74" t="s">
        <v>83</v>
      </c>
      <c r="E208" s="211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211"/>
      <c r="R208" s="211"/>
      <c r="S208" s="211"/>
      <c r="T208" s="211"/>
      <c r="U208" s="211"/>
      <c r="V208" s="211"/>
      <c r="W208" s="211"/>
      <c r="X208" s="211"/>
      <c r="Y208" s="212"/>
      <c r="Z208" s="212"/>
      <c r="AA208" s="212"/>
      <c r="AB208" s="73"/>
      <c r="AC208" s="27"/>
    </row>
    <row r="209" customFormat="false" ht="26.25" hidden="false" customHeight="false" outlineLevel="0" collapsed="false">
      <c r="B209" s="24" t="n">
        <f aca="false">IF(OR($E$168="No",LEN($E$168)&lt;1),1,IF(LEN(E209)&gt;1,1,0))</f>
        <v>1</v>
      </c>
      <c r="C209" s="17" t="str">
        <f aca="false">IF(B209=0,"*","")</f>
        <v/>
      </c>
      <c r="D209" s="74" t="s">
        <v>178</v>
      </c>
      <c r="E209" s="211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211"/>
      <c r="R209" s="211"/>
      <c r="S209" s="211"/>
      <c r="T209" s="211"/>
      <c r="U209" s="211"/>
      <c r="V209" s="211"/>
      <c r="W209" s="211"/>
      <c r="X209" s="211"/>
      <c r="Y209" s="212"/>
      <c r="Z209" s="212"/>
      <c r="AA209" s="212"/>
      <c r="AB209" s="73"/>
      <c r="AC209" s="27"/>
    </row>
    <row r="210" customFormat="false" ht="26.25" hidden="false" customHeight="false" outlineLevel="0" collapsed="false">
      <c r="B210" s="24" t="n">
        <f aca="false">IF(OR($E$168="No",LEN($E$168)&lt;1),1,IF(LEN(E210)&gt;1,1,0))</f>
        <v>1</v>
      </c>
      <c r="C210" s="17" t="str">
        <f aca="false">IF(B210=0,"*","")</f>
        <v/>
      </c>
      <c r="D210" s="74" t="s">
        <v>179</v>
      </c>
      <c r="E210" s="211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211"/>
      <c r="R210" s="211"/>
      <c r="S210" s="211"/>
      <c r="T210" s="211"/>
      <c r="U210" s="211"/>
      <c r="V210" s="211"/>
      <c r="W210" s="211"/>
      <c r="X210" s="211"/>
      <c r="Y210" s="212"/>
      <c r="Z210" s="212"/>
      <c r="AA210" s="212"/>
      <c r="AB210" s="73"/>
      <c r="AC210" s="27"/>
    </row>
    <row r="211" customFormat="false" ht="26.25" hidden="false" customHeight="false" outlineLevel="0" collapsed="false">
      <c r="B211" s="24" t="n">
        <f aca="false">IF(OR($E$168="No",LEN($E$168)&lt;1),1,IF(LEN(E211)&gt;1,1,0))</f>
        <v>1</v>
      </c>
      <c r="C211" s="17" t="str">
        <f aca="false">IF(B211=0,"*","")</f>
        <v/>
      </c>
      <c r="D211" s="74" t="s">
        <v>104</v>
      </c>
      <c r="E211" s="211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211"/>
      <c r="R211" s="211"/>
      <c r="S211" s="211"/>
      <c r="T211" s="211"/>
      <c r="U211" s="211"/>
      <c r="V211" s="211"/>
      <c r="W211" s="211"/>
      <c r="X211" s="211"/>
      <c r="Y211" s="212"/>
      <c r="Z211" s="212"/>
      <c r="AA211" s="212"/>
      <c r="AB211" s="73"/>
      <c r="AC211" s="27"/>
    </row>
    <row r="212" customFormat="false" ht="26.25" hidden="false" customHeight="false" outlineLevel="0" collapsed="false">
      <c r="B212" s="24" t="n">
        <f aca="false">IF(OR($E$168="No",LEN($E$168)&lt;1),1,IF(LEN(E212)&gt;1,1,0))</f>
        <v>1</v>
      </c>
      <c r="C212" s="17" t="str">
        <f aca="false">IF(B212=0,"*","")</f>
        <v/>
      </c>
      <c r="D212" s="74" t="s">
        <v>105</v>
      </c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211"/>
      <c r="U212" s="211"/>
      <c r="V212" s="211"/>
      <c r="W212" s="211"/>
      <c r="X212" s="211"/>
      <c r="Y212" s="212"/>
      <c r="Z212" s="212"/>
      <c r="AA212" s="212"/>
      <c r="AB212" s="73"/>
      <c r="AC212" s="27"/>
    </row>
    <row r="213" customFormat="false" ht="26.25" hidden="false" customHeight="false" outlineLevel="0" collapsed="false">
      <c r="B213" s="24" t="n">
        <f aca="false">IF(OR($E$168="No",LEN($E$168)&lt;1),1,IF(LEN(E213)&gt;1,1,0))</f>
        <v>1</v>
      </c>
      <c r="C213" s="17" t="str">
        <f aca="false">IF(B213=0,"*","")</f>
        <v/>
      </c>
      <c r="D213" s="74" t="s">
        <v>180</v>
      </c>
      <c r="E213" s="211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211"/>
      <c r="R213" s="211"/>
      <c r="S213" s="211"/>
      <c r="T213" s="211"/>
      <c r="U213" s="211"/>
      <c r="V213" s="211"/>
      <c r="W213" s="211"/>
      <c r="X213" s="211"/>
      <c r="Y213" s="212"/>
      <c r="Z213" s="212"/>
      <c r="AA213" s="212"/>
      <c r="AB213" s="73"/>
      <c r="AC213" s="27"/>
    </row>
    <row r="214" customFormat="false" ht="26.25" hidden="false" customHeight="false" outlineLevel="0" collapsed="false">
      <c r="B214" s="24" t="n">
        <f aca="false">IF(OR($E$168="No",LEN($E$168)&lt;1),1,IF(LEN(E214)&gt;1,1,0))</f>
        <v>1</v>
      </c>
      <c r="C214" s="17" t="str">
        <f aca="false">IF(B214=0,"*","")</f>
        <v/>
      </c>
      <c r="D214" s="74" t="s">
        <v>88</v>
      </c>
      <c r="E214" s="211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2"/>
      <c r="Z214" s="212"/>
      <c r="AA214" s="212"/>
      <c r="AB214" s="73"/>
      <c r="AC214" s="27"/>
    </row>
    <row r="215" customFormat="false" ht="26.25" hidden="false" customHeight="false" outlineLevel="0" collapsed="false">
      <c r="B215" s="24" t="n">
        <f aca="false">IF(OR($E$168="No",LEN($E$168)&lt;1),1,IF(LEN(E215)&gt;1,1,0))</f>
        <v>1</v>
      </c>
      <c r="C215" s="17" t="str">
        <f aca="false">IF(B215=0,"*","")</f>
        <v/>
      </c>
      <c r="D215" s="74" t="s">
        <v>107</v>
      </c>
      <c r="E215" s="211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211"/>
      <c r="R215" s="211"/>
      <c r="S215" s="211"/>
      <c r="T215" s="211"/>
      <c r="U215" s="211"/>
      <c r="V215" s="211"/>
      <c r="W215" s="211"/>
      <c r="X215" s="211"/>
      <c r="Y215" s="212"/>
      <c r="Z215" s="212"/>
      <c r="AA215" s="212"/>
      <c r="AB215" s="73"/>
      <c r="AC215" s="27"/>
    </row>
    <row r="216" customFormat="false" ht="26.25" hidden="false" customHeight="false" outlineLevel="0" collapsed="false">
      <c r="B216" s="24" t="n">
        <f aca="false">IF(OR($E$168="No",LEN($E$168)&lt;1),1,IF(LEN(E216)&gt;1,1,0))</f>
        <v>1</v>
      </c>
      <c r="C216" s="17" t="str">
        <f aca="false">IF(B216=0,"*","")</f>
        <v/>
      </c>
      <c r="D216" s="74" t="s">
        <v>93</v>
      </c>
      <c r="E216" s="211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211"/>
      <c r="R216" s="211"/>
      <c r="S216" s="211"/>
      <c r="T216" s="211"/>
      <c r="U216" s="211"/>
      <c r="V216" s="211"/>
      <c r="W216" s="211"/>
      <c r="X216" s="211"/>
      <c r="Y216" s="212"/>
      <c r="Z216" s="212"/>
      <c r="AA216" s="212"/>
      <c r="AB216" s="73"/>
      <c r="AC216" s="27"/>
    </row>
    <row r="217" customFormat="false" ht="26.25" hidden="false" customHeight="false" outlineLevel="0" collapsed="false">
      <c r="B217" s="24" t="n">
        <f aca="false">IF(OR($E$168="No",LEN($E$168)&lt;1),1,IF(LEN(E217)&gt;1,1,0))</f>
        <v>1</v>
      </c>
      <c r="C217" s="17" t="str">
        <f aca="false">IF(B217=0,"*","")</f>
        <v/>
      </c>
      <c r="D217" s="74" t="s">
        <v>181</v>
      </c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211"/>
      <c r="U217" s="211"/>
      <c r="V217" s="211"/>
      <c r="W217" s="211"/>
      <c r="X217" s="211"/>
      <c r="Y217" s="212"/>
      <c r="Z217" s="212"/>
      <c r="AA217" s="212"/>
      <c r="AB217" s="73"/>
      <c r="AC217" s="27"/>
    </row>
    <row r="218" customFormat="false" ht="26.25" hidden="false" customHeight="false" outlineLevel="0" collapsed="false">
      <c r="B218" s="24" t="n">
        <f aca="false">IF(OR($E$168="No",LEN($E$168)&lt;1),1,IF(LEN(E218)&gt;1,1,0))</f>
        <v>1</v>
      </c>
      <c r="C218" s="17" t="str">
        <f aca="false">IF(B218=0,"*","")</f>
        <v/>
      </c>
      <c r="D218" s="74" t="s">
        <v>168</v>
      </c>
      <c r="E218" s="211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211"/>
      <c r="R218" s="211"/>
      <c r="S218" s="211"/>
      <c r="T218" s="211"/>
      <c r="U218" s="211"/>
      <c r="V218" s="211"/>
      <c r="W218" s="211"/>
      <c r="X218" s="211"/>
      <c r="Y218" s="212"/>
      <c r="Z218" s="212"/>
      <c r="AA218" s="212"/>
      <c r="AB218" s="73"/>
      <c r="AC218" s="27"/>
    </row>
    <row r="219" customFormat="false" ht="26.25" hidden="false" customHeight="false" outlineLevel="0" collapsed="false">
      <c r="B219" s="24" t="n">
        <f aca="false">IF(OR($E$168="No",LEN($E$168)&lt;1),1,IF(LEN(E219)&gt;1,1,0))</f>
        <v>1</v>
      </c>
      <c r="C219" s="17" t="str">
        <f aca="false">IF(B219=0,"*","")</f>
        <v/>
      </c>
      <c r="D219" s="80" t="s">
        <v>170</v>
      </c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4"/>
      <c r="Z219" s="214"/>
      <c r="AA219" s="214"/>
      <c r="AB219" s="193"/>
      <c r="AC219" s="27"/>
    </row>
    <row r="220" customFormat="false" ht="34.5" hidden="false" customHeight="true" outlineLevel="0" collapsed="false">
      <c r="B220" s="24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7"/>
    </row>
    <row r="221" customFormat="false" ht="32.25" hidden="false" customHeight="true" outlineLevel="0" collapsed="false">
      <c r="B221" s="24"/>
      <c r="D221" s="34" t="str">
        <f aca="false">IF(OR($E$169="No",LEN($E$169)&lt;1),"NA","SUCURSALES")</f>
        <v>NA</v>
      </c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7"/>
      <c r="AC221" s="27"/>
    </row>
    <row r="222" customFormat="false" ht="25.5" hidden="false" customHeight="true" outlineLevel="0" collapsed="false">
      <c r="B222" s="24"/>
      <c r="D222" s="215"/>
      <c r="E222" s="157" t="s">
        <v>188</v>
      </c>
      <c r="F222" s="157"/>
      <c r="G222" s="157"/>
      <c r="H222" s="157"/>
      <c r="I222" s="157" t="s">
        <v>189</v>
      </c>
      <c r="J222" s="157"/>
      <c r="K222" s="157"/>
      <c r="L222" s="157"/>
      <c r="M222" s="157" t="s">
        <v>190</v>
      </c>
      <c r="N222" s="157"/>
      <c r="O222" s="157"/>
      <c r="P222" s="157"/>
      <c r="Q222" s="157" t="s">
        <v>191</v>
      </c>
      <c r="R222" s="157"/>
      <c r="S222" s="157"/>
      <c r="T222" s="157"/>
      <c r="U222" s="157" t="s">
        <v>192</v>
      </c>
      <c r="V222" s="157"/>
      <c r="W222" s="157"/>
      <c r="X222" s="157"/>
      <c r="Y222" s="198" t="s">
        <v>193</v>
      </c>
      <c r="Z222" s="198"/>
      <c r="AA222" s="198"/>
      <c r="AB222" s="199"/>
      <c r="AC222" s="27"/>
    </row>
    <row r="223" customFormat="false" ht="51.75" hidden="false" customHeight="true" outlineLevel="0" collapsed="false">
      <c r="B223" s="24" t="n">
        <f aca="false">IF(OR($E$169="No",LEN($E$169)&lt;1),1,IF(LEN(E223)&gt;1,1,0))</f>
        <v>1</v>
      </c>
      <c r="C223" s="17" t="str">
        <f aca="false">IF(B223=0,"*","")</f>
        <v/>
      </c>
      <c r="D223" s="74" t="s">
        <v>194</v>
      </c>
      <c r="E223" s="216"/>
      <c r="F223" s="216"/>
      <c r="G223" s="216"/>
      <c r="H223" s="216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8"/>
      <c r="Z223" s="218"/>
      <c r="AA223" s="218"/>
      <c r="AB223" s="219"/>
      <c r="AC223" s="27"/>
    </row>
    <row r="224" customFormat="false" ht="26.25" hidden="false" customHeight="false" outlineLevel="0" collapsed="false">
      <c r="B224" s="24" t="n">
        <f aca="false">IF(OR($E$169="No",LEN($E$169)&lt;1),1,IF(LEN(E224)&gt;1,1,0))</f>
        <v>1</v>
      </c>
      <c r="C224" s="17" t="str">
        <f aca="false">IF(B224=0,"*","")</f>
        <v/>
      </c>
      <c r="D224" s="74" t="s">
        <v>195</v>
      </c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211"/>
      <c r="U224" s="211"/>
      <c r="V224" s="211"/>
      <c r="W224" s="211"/>
      <c r="X224" s="211"/>
      <c r="Y224" s="212"/>
      <c r="Z224" s="212"/>
      <c r="AA224" s="212"/>
      <c r="AB224" s="151"/>
      <c r="AC224" s="27"/>
    </row>
    <row r="225" customFormat="false" ht="26.25" hidden="false" customHeight="false" outlineLevel="0" collapsed="false">
      <c r="B225" s="24" t="n">
        <f aca="false">IF(OR($E$169="No",LEN($E$169)&lt;1),1,IF(LEN(E225)&gt;1,1,0))</f>
        <v>1</v>
      </c>
      <c r="C225" s="17" t="str">
        <f aca="false">IF(B225=0,"*","")</f>
        <v/>
      </c>
      <c r="D225" s="74" t="s">
        <v>196</v>
      </c>
      <c r="E225" s="211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211"/>
      <c r="R225" s="211"/>
      <c r="S225" s="211"/>
      <c r="T225" s="211"/>
      <c r="U225" s="211"/>
      <c r="V225" s="211"/>
      <c r="W225" s="211"/>
      <c r="X225" s="211"/>
      <c r="Y225" s="212"/>
      <c r="Z225" s="212"/>
      <c r="AA225" s="212"/>
      <c r="AB225" s="151"/>
      <c r="AC225" s="27"/>
    </row>
    <row r="226" customFormat="false" ht="24.75" hidden="false" customHeight="true" outlineLevel="0" collapsed="false">
      <c r="B226" s="24" t="n">
        <f aca="false">IF(OR($E$169="No",LEN($E$169)&lt;1),1,IF(LEN(E226)&gt;1,1,0))</f>
        <v>1</v>
      </c>
      <c r="C226" s="17" t="str">
        <f aca="false">IF(B226=0,"*","")</f>
        <v/>
      </c>
      <c r="D226" s="74" t="s">
        <v>197</v>
      </c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3"/>
      <c r="Z226" s="203"/>
      <c r="AA226" s="203"/>
      <c r="AB226" s="73"/>
      <c r="AC226" s="27"/>
    </row>
    <row r="227" customFormat="false" ht="26.25" hidden="false" customHeight="false" outlineLevel="0" collapsed="false">
      <c r="B227" s="24" t="n">
        <f aca="false">IF(OR($E$169="No",LEN($E$169)&lt;1),1,IF(LEN(E227)&gt;0,1,0))</f>
        <v>1</v>
      </c>
      <c r="C227" s="17" t="str">
        <f aca="false">IF(B227=0,"*","")</f>
        <v/>
      </c>
      <c r="D227" s="80" t="s">
        <v>198</v>
      </c>
      <c r="E227" s="207"/>
      <c r="F227" s="207"/>
      <c r="G227" s="207"/>
      <c r="H227" s="207"/>
      <c r="I227" s="207"/>
      <c r="J227" s="207"/>
      <c r="K227" s="207"/>
      <c r="L227" s="207"/>
      <c r="M227" s="207"/>
      <c r="N227" s="207"/>
      <c r="O227" s="207"/>
      <c r="P227" s="207"/>
      <c r="Q227" s="207"/>
      <c r="R227" s="207"/>
      <c r="S227" s="207"/>
      <c r="T227" s="207"/>
      <c r="U227" s="207"/>
      <c r="V227" s="207"/>
      <c r="W227" s="207"/>
      <c r="X227" s="207"/>
      <c r="Y227" s="208"/>
      <c r="Z227" s="208"/>
      <c r="AA227" s="208"/>
      <c r="AB227" s="73"/>
      <c r="AC227" s="27"/>
    </row>
    <row r="228" customFormat="false" ht="32.25" hidden="false" customHeight="true" outlineLevel="0" collapsed="false">
      <c r="B228" s="24"/>
      <c r="D228" s="113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27"/>
    </row>
    <row r="229" customFormat="false" ht="33" hidden="false" customHeight="true" outlineLevel="0" collapsed="false">
      <c r="B229" s="24" t="n">
        <f aca="false">SUM(B230:B336)/COUNT(B230:B336)</f>
        <v>0.87037037037037</v>
      </c>
      <c r="C229" s="17" t="str">
        <f aca="false">IF(B229=0,"*","")</f>
        <v/>
      </c>
      <c r="D229" s="70" t="s">
        <v>41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83"/>
      <c r="AC229" s="27"/>
    </row>
    <row r="230" customFormat="false" ht="70.5" hidden="false" customHeight="true" outlineLevel="0" collapsed="false">
      <c r="B230" s="24" t="n">
        <f aca="false">IF(LEN(E230)&gt;1,1,0)</f>
        <v>1</v>
      </c>
      <c r="C230" s="17" t="str">
        <f aca="false">IF(B230=0,"*","")</f>
        <v/>
      </c>
      <c r="D230" s="220" t="s">
        <v>199</v>
      </c>
      <c r="E230" s="221" t="s">
        <v>200</v>
      </c>
      <c r="F230" s="221"/>
      <c r="G230" s="221"/>
      <c r="H230" s="221"/>
      <c r="I230" s="221"/>
      <c r="J230" s="221"/>
      <c r="K230" s="221"/>
      <c r="L230" s="221"/>
      <c r="M230" s="221"/>
      <c r="N230" s="221"/>
      <c r="O230" s="221"/>
      <c r="P230" s="221"/>
      <c r="Q230" s="221"/>
      <c r="R230" s="221"/>
      <c r="S230" s="221"/>
      <c r="T230" s="221"/>
      <c r="U230" s="221"/>
      <c r="V230" s="221"/>
      <c r="W230" s="221"/>
      <c r="X230" s="221"/>
      <c r="Y230" s="221"/>
      <c r="Z230" s="221"/>
      <c r="AA230" s="221"/>
      <c r="AB230" s="96"/>
      <c r="AC230" s="27"/>
    </row>
    <row r="231" customFormat="false" ht="28.5" hidden="false" customHeight="true" outlineLevel="0" collapsed="false">
      <c r="B231" s="24" t="n">
        <f aca="false">IF(LEN(E231)&gt;1,1,0)</f>
        <v>1</v>
      </c>
      <c r="C231" s="17" t="str">
        <f aca="false">IF(B231=0,"*","")</f>
        <v/>
      </c>
      <c r="D231" s="88" t="s">
        <v>201</v>
      </c>
      <c r="E231" s="110" t="s">
        <v>202</v>
      </c>
      <c r="F231" s="110"/>
      <c r="G231" s="110"/>
      <c r="H231" s="110"/>
      <c r="I231" s="222"/>
      <c r="J231" s="222"/>
      <c r="K231" s="222"/>
      <c r="L231" s="222"/>
      <c r="M231" s="222"/>
      <c r="N231" s="222"/>
      <c r="O231" s="222"/>
      <c r="P231" s="222"/>
      <c r="Q231" s="222"/>
      <c r="R231" s="222"/>
      <c r="S231" s="222"/>
      <c r="T231" s="222"/>
      <c r="U231" s="222"/>
      <c r="V231" s="222"/>
      <c r="W231" s="222"/>
      <c r="X231" s="222"/>
      <c r="Y231" s="222"/>
      <c r="Z231" s="222"/>
      <c r="AA231" s="222"/>
      <c r="AB231" s="36"/>
      <c r="AC231" s="27"/>
    </row>
    <row r="232" customFormat="false" ht="28.5" hidden="false" customHeight="true" outlineLevel="0" collapsed="false">
      <c r="B232" s="24" t="n">
        <f aca="false">IF(LEN(E232)&gt;1,1,0)</f>
        <v>1</v>
      </c>
      <c r="C232" s="17" t="str">
        <f aca="false">IF(B232=0,"*","")</f>
        <v/>
      </c>
      <c r="D232" s="100" t="s">
        <v>203</v>
      </c>
      <c r="E232" s="112" t="s">
        <v>67</v>
      </c>
      <c r="F232" s="112"/>
      <c r="G232" s="112"/>
      <c r="H232" s="112"/>
      <c r="I232" s="222"/>
      <c r="J232" s="222"/>
      <c r="K232" s="222"/>
      <c r="L232" s="222"/>
      <c r="M232" s="222"/>
      <c r="N232" s="222"/>
      <c r="O232" s="222"/>
      <c r="P232" s="222"/>
      <c r="Q232" s="222"/>
      <c r="R232" s="222"/>
      <c r="S232" s="222"/>
      <c r="T232" s="222"/>
      <c r="U232" s="222"/>
      <c r="V232" s="222"/>
      <c r="W232" s="222"/>
      <c r="X232" s="222"/>
      <c r="Y232" s="222"/>
      <c r="Z232" s="222"/>
      <c r="AA232" s="222"/>
      <c r="AB232" s="36"/>
      <c r="AC232" s="27"/>
    </row>
    <row r="233" customFormat="false" ht="28.5" hidden="false" customHeight="true" outlineLevel="0" collapsed="false">
      <c r="B233" s="24"/>
      <c r="D233" s="223"/>
      <c r="E233" s="224"/>
      <c r="F233" s="224"/>
      <c r="G233" s="224"/>
      <c r="H233" s="224"/>
      <c r="I233" s="224"/>
      <c r="J233" s="225"/>
      <c r="K233" s="224"/>
      <c r="L233" s="224"/>
      <c r="M233" s="224"/>
      <c r="N233" s="224"/>
      <c r="O233" s="224"/>
      <c r="P233" s="224"/>
      <c r="Q233" s="224"/>
      <c r="R233" s="224"/>
      <c r="S233" s="224"/>
      <c r="T233" s="224"/>
      <c r="U233" s="224"/>
      <c r="V233" s="224"/>
      <c r="W233" s="224"/>
      <c r="X233" s="224"/>
      <c r="Y233" s="224"/>
      <c r="Z233" s="224"/>
      <c r="AA233" s="226"/>
      <c r="AB233" s="36"/>
      <c r="AC233" s="27"/>
    </row>
    <row r="234" customFormat="false" ht="29.25" hidden="false" customHeight="true" outlineLevel="0" collapsed="false">
      <c r="B234" s="24"/>
      <c r="D234" s="227" t="str">
        <f aca="false">IF(OR($E$232="No",LEN($E$232)&lt;1),"NA","(Anexe obras actuales y las 5 más importantes en los últimos 2 años)")</f>
        <v>NA</v>
      </c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  <c r="AA234" s="227"/>
      <c r="AB234" s="228"/>
      <c r="AC234" s="27"/>
    </row>
    <row r="235" customFormat="false" ht="30.75" hidden="false" customHeight="true" outlineLevel="0" collapsed="false">
      <c r="B235" s="24"/>
      <c r="D235" s="229"/>
      <c r="E235" s="230" t="s">
        <v>204</v>
      </c>
      <c r="F235" s="230"/>
      <c r="G235" s="230"/>
      <c r="H235" s="230"/>
      <c r="I235" s="230" t="s">
        <v>205</v>
      </c>
      <c r="J235" s="230"/>
      <c r="K235" s="230"/>
      <c r="L235" s="230"/>
      <c r="M235" s="230" t="s">
        <v>206</v>
      </c>
      <c r="N235" s="230"/>
      <c r="O235" s="230"/>
      <c r="P235" s="230"/>
      <c r="Q235" s="230" t="s">
        <v>207</v>
      </c>
      <c r="R235" s="230"/>
      <c r="S235" s="230"/>
      <c r="T235" s="230"/>
      <c r="U235" s="230" t="s">
        <v>208</v>
      </c>
      <c r="V235" s="230"/>
      <c r="W235" s="230"/>
      <c r="X235" s="230"/>
      <c r="Y235" s="231"/>
      <c r="Z235" s="231"/>
      <c r="AA235" s="231"/>
      <c r="AB235" s="232"/>
      <c r="AC235" s="27"/>
    </row>
    <row r="236" customFormat="false" ht="28.5" hidden="false" customHeight="true" outlineLevel="0" collapsed="false">
      <c r="B236" s="24" t="n">
        <f aca="false">IF(OR($E$232="No",LEN($E$232)&lt;1),1,IF(LEN(E236)&gt;1,1,0))</f>
        <v>1</v>
      </c>
      <c r="C236" s="17" t="str">
        <f aca="false">IF(B236=0,"*","")</f>
        <v/>
      </c>
      <c r="D236" s="233" t="s">
        <v>209</v>
      </c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4"/>
      <c r="X236" s="234"/>
      <c r="Y236" s="231"/>
      <c r="Z236" s="231"/>
      <c r="AA236" s="231"/>
      <c r="AB236" s="232"/>
      <c r="AC236" s="27"/>
    </row>
    <row r="237" customFormat="false" ht="28.5" hidden="false" customHeight="true" outlineLevel="0" collapsed="false">
      <c r="B237" s="24" t="n">
        <f aca="false">IF(OR($E$232="No",LEN($E$232)&lt;1),1,IF(LEN(E237)&gt;1,1,0))</f>
        <v>1</v>
      </c>
      <c r="C237" s="17" t="str">
        <f aca="false">IF(B237=0,"*","")</f>
        <v/>
      </c>
      <c r="D237" s="233" t="s">
        <v>210</v>
      </c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1"/>
      <c r="Z237" s="231"/>
      <c r="AA237" s="231"/>
      <c r="AB237" s="232"/>
      <c r="AC237" s="27"/>
    </row>
    <row r="238" customFormat="false" ht="49.5" hidden="false" customHeight="true" outlineLevel="0" collapsed="false">
      <c r="B238" s="24" t="n">
        <f aca="false">IF(OR($E$232="No",LEN($E$232)&lt;1),1,IF(LEN(E238)&gt;1,1,0))</f>
        <v>1</v>
      </c>
      <c r="C238" s="17" t="str">
        <f aca="false">IF(B238=0,"*","")</f>
        <v/>
      </c>
      <c r="D238" s="233" t="s">
        <v>211</v>
      </c>
      <c r="E238" s="234"/>
      <c r="F238" s="234"/>
      <c r="G238" s="234"/>
      <c r="H238" s="234"/>
      <c r="I238" s="234"/>
      <c r="J238" s="234"/>
      <c r="K238" s="234"/>
      <c r="L238" s="234"/>
      <c r="M238" s="234"/>
      <c r="N238" s="234"/>
      <c r="O238" s="234"/>
      <c r="P238" s="234"/>
      <c r="Q238" s="234"/>
      <c r="R238" s="234"/>
      <c r="S238" s="234"/>
      <c r="T238" s="234"/>
      <c r="U238" s="234"/>
      <c r="V238" s="234"/>
      <c r="W238" s="234"/>
      <c r="X238" s="234"/>
      <c r="Y238" s="231"/>
      <c r="Z238" s="231"/>
      <c r="AA238" s="231"/>
      <c r="AB238" s="232"/>
      <c r="AC238" s="27"/>
    </row>
    <row r="239" customFormat="false" ht="32.25" hidden="false" customHeight="true" outlineLevel="0" collapsed="false">
      <c r="B239" s="24" t="n">
        <f aca="false">IF(OR($E$232="No",LEN($E$232)&lt;1),1,IF(LEN(E239)&gt;1,1,0))</f>
        <v>1</v>
      </c>
      <c r="C239" s="17" t="str">
        <f aca="false">IF(B239=0,"*","")</f>
        <v/>
      </c>
      <c r="D239" s="233" t="s">
        <v>212</v>
      </c>
      <c r="E239" s="234"/>
      <c r="F239" s="234"/>
      <c r="G239" s="234"/>
      <c r="H239" s="234"/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  <c r="S239" s="234"/>
      <c r="T239" s="234"/>
      <c r="U239" s="234"/>
      <c r="V239" s="234"/>
      <c r="W239" s="234"/>
      <c r="X239" s="234"/>
      <c r="Y239" s="231"/>
      <c r="Z239" s="231"/>
      <c r="AA239" s="231"/>
      <c r="AB239" s="232"/>
      <c r="AC239" s="27"/>
    </row>
    <row r="240" customFormat="false" ht="28.5" hidden="false" customHeight="true" outlineLevel="0" collapsed="false">
      <c r="B240" s="24" t="n">
        <f aca="false">IF(OR($E$232="No",LEN($E$232)&lt;1),1,IF(LEN(E240)&gt;1,1,0))</f>
        <v>1</v>
      </c>
      <c r="C240" s="17" t="str">
        <f aca="false">IF(B240=0,"*","")</f>
        <v/>
      </c>
      <c r="D240" s="233" t="s">
        <v>213</v>
      </c>
      <c r="E240" s="234"/>
      <c r="F240" s="234"/>
      <c r="G240" s="234"/>
      <c r="H240" s="234"/>
      <c r="I240" s="234"/>
      <c r="J240" s="234"/>
      <c r="K240" s="234"/>
      <c r="L240" s="234"/>
      <c r="M240" s="234"/>
      <c r="N240" s="234"/>
      <c r="O240" s="234"/>
      <c r="P240" s="234"/>
      <c r="Q240" s="234"/>
      <c r="R240" s="234"/>
      <c r="S240" s="234"/>
      <c r="T240" s="234"/>
      <c r="U240" s="234"/>
      <c r="V240" s="234"/>
      <c r="W240" s="234"/>
      <c r="X240" s="234"/>
      <c r="Y240" s="231"/>
      <c r="Z240" s="231"/>
      <c r="AA240" s="231"/>
      <c r="AB240" s="232"/>
      <c r="AC240" s="27"/>
    </row>
    <row r="241" customFormat="false" ht="28.5" hidden="false" customHeight="true" outlineLevel="0" collapsed="false">
      <c r="B241" s="24" t="n">
        <f aca="false">IF(OR($E$232="No",LEN($E$232)&lt;1),1,IF(LEN(E241)&gt;1,1,0))</f>
        <v>1</v>
      </c>
      <c r="C241" s="17" t="str">
        <f aca="false">IF(B241=0,"*","")</f>
        <v/>
      </c>
      <c r="D241" s="233" t="s">
        <v>214</v>
      </c>
      <c r="E241" s="234"/>
      <c r="F241" s="234"/>
      <c r="G241" s="234"/>
      <c r="H241" s="234"/>
      <c r="I241" s="234"/>
      <c r="J241" s="234"/>
      <c r="K241" s="234"/>
      <c r="L241" s="234"/>
      <c r="M241" s="234"/>
      <c r="N241" s="234"/>
      <c r="O241" s="234"/>
      <c r="P241" s="234"/>
      <c r="Q241" s="234"/>
      <c r="R241" s="234"/>
      <c r="S241" s="234"/>
      <c r="T241" s="234"/>
      <c r="U241" s="234"/>
      <c r="V241" s="234"/>
      <c r="W241" s="234"/>
      <c r="X241" s="234"/>
      <c r="Y241" s="231"/>
      <c r="Z241" s="231"/>
      <c r="AA241" s="231"/>
      <c r="AB241" s="232"/>
      <c r="AC241" s="27"/>
    </row>
    <row r="242" customFormat="false" ht="28.5" hidden="false" customHeight="true" outlineLevel="0" collapsed="false">
      <c r="B242" s="24" t="n">
        <f aca="false">IF(OR($E$232="No",LEN($E$232)&lt;1),1,IF(LEN(E242)&gt;1,1,0))</f>
        <v>1</v>
      </c>
      <c r="C242" s="17" t="str">
        <f aca="false">IF(B242=0,"*","")</f>
        <v/>
      </c>
      <c r="D242" s="236" t="s">
        <v>215</v>
      </c>
      <c r="E242" s="234"/>
      <c r="F242" s="234"/>
      <c r="G242" s="234"/>
      <c r="H242" s="234"/>
      <c r="I242" s="234"/>
      <c r="J242" s="234"/>
      <c r="K242" s="234"/>
      <c r="L242" s="234"/>
      <c r="M242" s="234"/>
      <c r="N242" s="234"/>
      <c r="O242" s="234"/>
      <c r="P242" s="234"/>
      <c r="Q242" s="234"/>
      <c r="R242" s="234"/>
      <c r="S242" s="234"/>
      <c r="T242" s="234"/>
      <c r="U242" s="234"/>
      <c r="V242" s="234"/>
      <c r="W242" s="234"/>
      <c r="X242" s="234"/>
      <c r="Y242" s="231"/>
      <c r="Z242" s="231"/>
      <c r="AA242" s="231"/>
      <c r="AB242" s="232"/>
      <c r="AC242" s="27"/>
    </row>
    <row r="243" customFormat="false" ht="28.5" hidden="false" customHeight="true" outlineLevel="0" collapsed="false">
      <c r="B243" s="24" t="n">
        <f aca="false">IF(OR($E$232="No",LEN($E$232)&lt;1,LEN(D243)&lt;2),1,IF(OR(LEN(E243)&gt;1,LEN(I243)&gt;1,LEN(M243)&gt;1,LEN(Q243)&gt;1,LEN(U243)&gt;1),1,0))</f>
        <v>1</v>
      </c>
      <c r="C243" s="17" t="str">
        <f aca="false">IF(B243=0,"*","")</f>
        <v/>
      </c>
      <c r="D243" s="236" t="str">
        <f aca="false">IF(OR($E$242="Sí",$I$242="Sí",$M$242="Sí",$Q$242="Sí",$U$242="Sí"),"Tipo de fianza:","")</f>
        <v/>
      </c>
      <c r="E243" s="234"/>
      <c r="F243" s="234"/>
      <c r="G243" s="234"/>
      <c r="H243" s="234"/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  <c r="S243" s="234"/>
      <c r="T243" s="234"/>
      <c r="U243" s="234"/>
      <c r="V243" s="234"/>
      <c r="W243" s="234"/>
      <c r="X243" s="234"/>
      <c r="Y243" s="231"/>
      <c r="Z243" s="231"/>
      <c r="AA243" s="231"/>
      <c r="AB243" s="232"/>
      <c r="AC243" s="27"/>
    </row>
    <row r="244" customFormat="false" ht="28.5" hidden="false" customHeight="true" outlineLevel="0" collapsed="false">
      <c r="B244" s="24" t="n">
        <f aca="false">IF(OR($E$232="No",LEN($E$232)&lt;1,LEN(D244)&lt;2),1,IF(OR(LEN(E244)&gt;1,LEN(I244)&gt;1,LEN(M244)&gt;1,LEN(Q244)&gt;1,LEN(U244)&gt;1),1,0))</f>
        <v>1</v>
      </c>
      <c r="C244" s="17" t="str">
        <f aca="false">IF(B244=0,"*","")</f>
        <v/>
      </c>
      <c r="D244" s="237" t="str">
        <f aca="false">IF(OR($E$242="Sí",$I$242="Sí",$M$242="Sí",$Q$242="Sí",$U$242="Sí"),"Nombre de la empresa que proporcionó la fianza: ","")</f>
        <v/>
      </c>
      <c r="E244" s="238"/>
      <c r="F244" s="238"/>
      <c r="G244" s="238"/>
      <c r="H244" s="238"/>
      <c r="I244" s="238"/>
      <c r="J244" s="238"/>
      <c r="K244" s="238"/>
      <c r="L244" s="238"/>
      <c r="M244" s="238"/>
      <c r="N244" s="238"/>
      <c r="O244" s="238"/>
      <c r="P244" s="238"/>
      <c r="Q244" s="238"/>
      <c r="R244" s="238"/>
      <c r="S244" s="238"/>
      <c r="T244" s="238"/>
      <c r="U244" s="238"/>
      <c r="V244" s="238"/>
      <c r="W244" s="238"/>
      <c r="X244" s="238"/>
      <c r="Y244" s="231"/>
      <c r="Z244" s="231"/>
      <c r="AA244" s="231"/>
      <c r="AB244" s="232"/>
      <c r="AC244" s="27"/>
    </row>
    <row r="245" customFormat="false" ht="49.5" hidden="false" customHeight="true" outlineLevel="0" collapsed="false">
      <c r="B245" s="24"/>
      <c r="D245" s="183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239"/>
      <c r="Z245" s="239"/>
      <c r="AA245" s="239"/>
      <c r="AB245" s="239"/>
      <c r="AC245" s="27"/>
    </row>
    <row r="246" customFormat="false" ht="37.5" hidden="false" customHeight="true" outlineLevel="0" collapsed="false">
      <c r="B246" s="24"/>
      <c r="D246" s="34" t="s">
        <v>216</v>
      </c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7"/>
      <c r="AC246" s="27"/>
    </row>
    <row r="247" customFormat="false" ht="112.5" hidden="false" customHeight="true" outlineLevel="0" collapsed="false">
      <c r="B247" s="24" t="n">
        <f aca="false">IF(LEN(E247)&gt;1,1,0)</f>
        <v>1</v>
      </c>
      <c r="C247" s="17" t="str">
        <f aca="false">IF(B247=0,"*","")</f>
        <v/>
      </c>
      <c r="D247" s="240" t="s">
        <v>217</v>
      </c>
      <c r="E247" s="241" t="s">
        <v>218</v>
      </c>
      <c r="F247" s="241"/>
      <c r="G247" s="241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  <c r="AA247" s="241"/>
      <c r="AB247" s="96"/>
      <c r="AC247" s="27"/>
    </row>
    <row r="248" customFormat="false" ht="26.25" hidden="false" customHeight="true" outlineLevel="0" collapsed="false">
      <c r="B248" s="24" t="n">
        <f aca="false">IF(LEN(E248)&gt;1,1,0)</f>
        <v>1</v>
      </c>
      <c r="C248" s="17" t="str">
        <f aca="false">IF(B248=0,"*","")</f>
        <v/>
      </c>
      <c r="D248" s="242" t="s">
        <v>219</v>
      </c>
      <c r="E248" s="243" t="s">
        <v>67</v>
      </c>
      <c r="F248" s="243"/>
      <c r="G248" s="243"/>
      <c r="H248" s="243"/>
      <c r="I248" s="244"/>
      <c r="J248" s="244"/>
      <c r="K248" s="244"/>
      <c r="L248" s="244"/>
      <c r="M248" s="244"/>
      <c r="N248" s="244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  <c r="AA248" s="244"/>
      <c r="AB248" s="41"/>
      <c r="AC248" s="27"/>
    </row>
    <row r="249" customFormat="false" ht="25.5" hidden="false" customHeight="true" outlineLevel="0" collapsed="false">
      <c r="B249" s="24" t="n">
        <f aca="false">IF(E248="No",1,IF(LEN(E249)&gt;1,1,0))</f>
        <v>1</v>
      </c>
      <c r="C249" s="17" t="str">
        <f aca="false">IF(B249=0,"*","")</f>
        <v/>
      </c>
      <c r="D249" s="245" t="str">
        <f aca="false">IF(E248="Sí","Razón social de la empresa que representa:","")</f>
        <v/>
      </c>
      <c r="E249" s="246"/>
      <c r="F249" s="246"/>
      <c r="G249" s="246"/>
      <c r="H249" s="246"/>
      <c r="I249" s="246"/>
      <c r="J249" s="246"/>
      <c r="K249" s="246"/>
      <c r="L249" s="246"/>
      <c r="M249" s="246"/>
      <c r="N249" s="246"/>
      <c r="O249" s="246"/>
      <c r="P249" s="246"/>
      <c r="Q249" s="246"/>
      <c r="R249" s="246"/>
      <c r="S249" s="246"/>
      <c r="T249" s="246"/>
      <c r="U249" s="246"/>
      <c r="V249" s="246"/>
      <c r="W249" s="246"/>
      <c r="X249" s="246"/>
      <c r="Y249" s="246"/>
      <c r="Z249" s="246"/>
      <c r="AA249" s="246"/>
      <c r="AB249" s="219"/>
      <c r="AC249" s="27"/>
    </row>
    <row r="250" customFormat="false" ht="25.5" hidden="false" customHeight="true" outlineLevel="0" collapsed="false">
      <c r="B250" s="24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27"/>
    </row>
    <row r="251" customFormat="false" ht="36.75" hidden="false" customHeight="true" outlineLevel="0" collapsed="false">
      <c r="B251" s="24"/>
      <c r="D251" s="34" t="s">
        <v>220</v>
      </c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7"/>
      <c r="AC251" s="27"/>
    </row>
    <row r="252" customFormat="false" ht="37.5" hidden="false" customHeight="true" outlineLevel="0" collapsed="false">
      <c r="B252" s="24" t="n">
        <f aca="false">IF(E252&gt;0,1,0)</f>
        <v>1</v>
      </c>
      <c r="C252" s="17" t="str">
        <f aca="false">IF(B252=0,"*","")</f>
        <v/>
      </c>
      <c r="D252" s="247" t="s">
        <v>221</v>
      </c>
      <c r="E252" s="248" t="n">
        <v>5</v>
      </c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86"/>
      <c r="AC252" s="27"/>
    </row>
    <row r="253" customFormat="false" ht="25.5" hidden="false" customHeight="true" outlineLevel="0" collapsed="false">
      <c r="B253" s="24"/>
      <c r="D253" s="249" t="s">
        <v>222</v>
      </c>
      <c r="E253" s="249"/>
      <c r="F253" s="249"/>
      <c r="G253" s="249"/>
      <c r="H253" s="249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  <c r="AA253" s="250"/>
      <c r="AB253" s="251"/>
      <c r="AC253" s="27"/>
    </row>
    <row r="254" customFormat="false" ht="26.25" hidden="false" customHeight="false" outlineLevel="0" collapsed="false">
      <c r="B254" s="24"/>
      <c r="D254" s="71" t="s">
        <v>223</v>
      </c>
      <c r="E254" s="252" t="n">
        <v>0.2</v>
      </c>
      <c r="F254" s="252"/>
      <c r="G254" s="252"/>
      <c r="H254" s="252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  <c r="AA254" s="250"/>
      <c r="AB254" s="251"/>
      <c r="AC254" s="27"/>
    </row>
    <row r="255" customFormat="false" ht="26.25" hidden="false" customHeight="false" outlineLevel="0" collapsed="false">
      <c r="B255" s="24" t="n">
        <f aca="false">IF(E254=0,1,IF(LEN(E255)&gt;1,1,0))</f>
        <v>1</v>
      </c>
      <c r="C255" s="17" t="str">
        <f aca="false">IF(B255=0,"*","")</f>
        <v/>
      </c>
      <c r="D255" s="74" t="s">
        <v>224</v>
      </c>
      <c r="E255" s="160" t="s">
        <v>225</v>
      </c>
      <c r="F255" s="160"/>
      <c r="G255" s="160"/>
      <c r="H255" s="16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  <c r="AA255" s="250"/>
      <c r="AB255" s="251"/>
      <c r="AC255" s="27"/>
    </row>
    <row r="256" customFormat="false" ht="26.25" hidden="false" customHeight="false" outlineLevel="0" collapsed="false">
      <c r="B256" s="24" t="n">
        <f aca="false">IF(E254=0,1,IF(LEN(E256)&gt;0,1,0))</f>
        <v>1</v>
      </c>
      <c r="C256" s="17" t="str">
        <f aca="false">IF(B256=0,"*","")</f>
        <v/>
      </c>
      <c r="D256" s="74" t="s">
        <v>226</v>
      </c>
      <c r="E256" s="160" t="n">
        <v>0</v>
      </c>
      <c r="F256" s="160"/>
      <c r="G256" s="160"/>
      <c r="H256" s="16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  <c r="AA256" s="250"/>
      <c r="AB256" s="251"/>
      <c r="AC256" s="27"/>
    </row>
    <row r="257" customFormat="false" ht="26.25" hidden="false" customHeight="false" outlineLevel="0" collapsed="false">
      <c r="B257" s="24"/>
      <c r="D257" s="74" t="s">
        <v>227</v>
      </c>
      <c r="E257" s="253" t="n">
        <f aca="false">1-E254</f>
        <v>0.8</v>
      </c>
      <c r="F257" s="253"/>
      <c r="G257" s="253"/>
      <c r="H257" s="253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  <c r="AA257" s="250"/>
      <c r="AB257" s="251"/>
      <c r="AC257" s="27"/>
    </row>
    <row r="258" customFormat="false" ht="31.5" hidden="false" customHeight="true" outlineLevel="0" collapsed="false">
      <c r="B258" s="24" t="n">
        <f aca="false">IF($E$257=0,1,IF(LEN(E258)&gt;1,1,0))</f>
        <v>1</v>
      </c>
      <c r="C258" s="17" t="str">
        <f aca="false">IF(B258=0,"*","")</f>
        <v/>
      </c>
      <c r="D258" s="74" t="s">
        <v>228</v>
      </c>
      <c r="E258" s="254" t="s">
        <v>229</v>
      </c>
      <c r="F258" s="254"/>
      <c r="G258" s="254"/>
      <c r="H258" s="254"/>
      <c r="I258" s="254"/>
      <c r="J258" s="254"/>
      <c r="K258" s="254"/>
      <c r="L258" s="254"/>
      <c r="M258" s="254"/>
      <c r="N258" s="254"/>
      <c r="O258" s="254"/>
      <c r="P258" s="254"/>
      <c r="Q258" s="254"/>
      <c r="R258" s="254"/>
      <c r="S258" s="254"/>
      <c r="T258" s="254"/>
      <c r="U258" s="254"/>
      <c r="V258" s="254"/>
      <c r="W258" s="254"/>
      <c r="X258" s="254"/>
      <c r="Y258" s="254"/>
      <c r="Z258" s="254"/>
      <c r="AA258" s="254"/>
      <c r="AB258" s="251"/>
      <c r="AC258" s="27"/>
    </row>
    <row r="259" customFormat="false" ht="42" hidden="false" customHeight="true" outlineLevel="0" collapsed="false">
      <c r="B259" s="24" t="n">
        <f aca="false">IF($E$257=0,1,IF(LEN(E259)&gt;1,1,0))</f>
        <v>0</v>
      </c>
      <c r="C259" s="17" t="str">
        <f aca="false">IF(B259=0,"*","")</f>
        <v>*</v>
      </c>
      <c r="D259" s="88" t="str">
        <f aca="false">"Indique la distribución porcentual entre los países mencionados en la pregunta anterior:"</f>
        <v>Indique la distribución porcentual entre los países mencionados en la pregunta anterior:</v>
      </c>
      <c r="E259" s="254"/>
      <c r="F259" s="254"/>
      <c r="G259" s="254"/>
      <c r="H259" s="254"/>
      <c r="I259" s="254"/>
      <c r="J259" s="254"/>
      <c r="K259" s="254"/>
      <c r="L259" s="254"/>
      <c r="M259" s="254"/>
      <c r="N259" s="254"/>
      <c r="O259" s="254"/>
      <c r="P259" s="254"/>
      <c r="Q259" s="254"/>
      <c r="R259" s="254"/>
      <c r="S259" s="254"/>
      <c r="T259" s="254"/>
      <c r="U259" s="254"/>
      <c r="V259" s="254"/>
      <c r="W259" s="254"/>
      <c r="X259" s="254"/>
      <c r="Y259" s="254"/>
      <c r="Z259" s="254"/>
      <c r="AA259" s="254"/>
      <c r="AB259" s="251"/>
      <c r="AC259" s="27"/>
    </row>
    <row r="260" customFormat="false" ht="26.25" hidden="false" customHeight="false" outlineLevel="0" collapsed="false">
      <c r="B260" s="24" t="n">
        <f aca="false">IF($E$257=0,1,IF(LEN(E260)&gt;1,1,0))</f>
        <v>1</v>
      </c>
      <c r="C260" s="17" t="str">
        <f aca="false">IF(B260=0,"*","")</f>
        <v/>
      </c>
      <c r="D260" s="74" t="s">
        <v>230</v>
      </c>
      <c r="E260" s="255" t="s">
        <v>225</v>
      </c>
      <c r="F260" s="255"/>
      <c r="G260" s="255"/>
      <c r="H260" s="255"/>
      <c r="I260" s="256"/>
      <c r="J260" s="256"/>
      <c r="K260" s="256"/>
      <c r="L260" s="256"/>
      <c r="M260" s="256"/>
      <c r="N260" s="256"/>
      <c r="O260" s="256"/>
      <c r="P260" s="256"/>
      <c r="Q260" s="256"/>
      <c r="R260" s="256"/>
      <c r="S260" s="256"/>
      <c r="T260" s="256"/>
      <c r="U260" s="256"/>
      <c r="V260" s="256"/>
      <c r="W260" s="256"/>
      <c r="X260" s="256"/>
      <c r="Y260" s="256"/>
      <c r="Z260" s="256"/>
      <c r="AA260" s="256"/>
      <c r="AB260" s="251"/>
      <c r="AC260" s="27"/>
    </row>
    <row r="261" customFormat="false" ht="26.25" hidden="false" customHeight="false" outlineLevel="0" collapsed="false">
      <c r="B261" s="24" t="n">
        <f aca="false">IF(OR(E257=0,E260="Contado",E260="Otro"),1,IF(LEN(E261)&gt;0,1,0))</f>
        <v>1</v>
      </c>
      <c r="C261" s="17" t="str">
        <f aca="false">IF(B261=0,"*","")</f>
        <v/>
      </c>
      <c r="D261" s="80" t="s">
        <v>226</v>
      </c>
      <c r="E261" s="257" t="n">
        <v>0</v>
      </c>
      <c r="F261" s="257"/>
      <c r="G261" s="257"/>
      <c r="H261" s="257"/>
      <c r="I261" s="256"/>
      <c r="J261" s="256"/>
      <c r="K261" s="256"/>
      <c r="L261" s="256"/>
      <c r="M261" s="256"/>
      <c r="N261" s="256"/>
      <c r="O261" s="256"/>
      <c r="P261" s="256"/>
      <c r="Q261" s="256"/>
      <c r="R261" s="256"/>
      <c r="S261" s="256"/>
      <c r="T261" s="256"/>
      <c r="U261" s="256"/>
      <c r="V261" s="256"/>
      <c r="W261" s="256"/>
      <c r="X261" s="256"/>
      <c r="Y261" s="256"/>
      <c r="Z261" s="256"/>
      <c r="AA261" s="256"/>
      <c r="AB261" s="251"/>
      <c r="AC261" s="27"/>
    </row>
    <row r="262" customFormat="false" ht="28.5" hidden="false" customHeight="true" outlineLevel="0" collapsed="false">
      <c r="B262" s="24"/>
      <c r="E262" s="258"/>
      <c r="F262" s="258"/>
      <c r="G262" s="258"/>
      <c r="H262" s="258"/>
      <c r="I262" s="259"/>
      <c r="J262" s="259"/>
      <c r="K262" s="259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259"/>
      <c r="Y262" s="259"/>
      <c r="Z262" s="259"/>
      <c r="AA262" s="260"/>
      <c r="AB262" s="251"/>
      <c r="AC262" s="27"/>
    </row>
    <row r="263" customFormat="false" ht="31.5" hidden="false" customHeight="true" outlineLevel="0" collapsed="false">
      <c r="B263" s="24"/>
      <c r="D263" s="34" t="s">
        <v>231</v>
      </c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7"/>
      <c r="AC263" s="27"/>
    </row>
    <row r="264" customFormat="false" ht="26.25" hidden="false" customHeight="false" outlineLevel="0" collapsed="false">
      <c r="B264" s="24"/>
      <c r="D264" s="261"/>
      <c r="E264" s="262" t="s">
        <v>232</v>
      </c>
      <c r="F264" s="262"/>
      <c r="G264" s="262"/>
      <c r="H264" s="262"/>
      <c r="I264" s="262" t="s">
        <v>233</v>
      </c>
      <c r="J264" s="262"/>
      <c r="K264" s="262"/>
      <c r="L264" s="262"/>
      <c r="M264" s="262" t="s">
        <v>234</v>
      </c>
      <c r="N264" s="262"/>
      <c r="O264" s="262"/>
      <c r="P264" s="262"/>
      <c r="Q264" s="262" t="s">
        <v>235</v>
      </c>
      <c r="R264" s="262"/>
      <c r="S264" s="262"/>
      <c r="T264" s="262"/>
      <c r="U264" s="262" t="s">
        <v>236</v>
      </c>
      <c r="V264" s="262"/>
      <c r="W264" s="262"/>
      <c r="X264" s="262"/>
      <c r="Y264" s="263"/>
      <c r="Z264" s="263"/>
      <c r="AA264" s="263"/>
      <c r="AB264" s="209"/>
      <c r="AC264" s="27"/>
    </row>
    <row r="265" customFormat="false" ht="26.25" hidden="false" customHeight="false" outlineLevel="0" collapsed="false">
      <c r="B265" s="24" t="n">
        <f aca="false">IF(LEN(E265)&gt;1,1,0)</f>
        <v>1</v>
      </c>
      <c r="C265" s="17" t="str">
        <f aca="false">IF(B265=0,"*","")</f>
        <v/>
      </c>
      <c r="D265" s="74" t="s">
        <v>237</v>
      </c>
      <c r="E265" s="264" t="s">
        <v>238</v>
      </c>
      <c r="F265" s="264"/>
      <c r="G265" s="264"/>
      <c r="H265" s="264"/>
      <c r="I265" s="264" t="s">
        <v>239</v>
      </c>
      <c r="J265" s="264"/>
      <c r="K265" s="264"/>
      <c r="L265" s="264"/>
      <c r="M265" s="160"/>
      <c r="N265" s="160"/>
      <c r="O265" s="160"/>
      <c r="P265" s="160"/>
      <c r="Q265" s="160"/>
      <c r="R265" s="160"/>
      <c r="S265" s="160"/>
      <c r="T265" s="160"/>
      <c r="U265" s="160"/>
      <c r="V265" s="160"/>
      <c r="W265" s="160"/>
      <c r="X265" s="160"/>
      <c r="Y265" s="263"/>
      <c r="Z265" s="263"/>
      <c r="AA265" s="263"/>
      <c r="AB265" s="209"/>
      <c r="AC265" s="27"/>
    </row>
    <row r="266" customFormat="false" ht="26.25" hidden="false" customHeight="false" outlineLevel="0" collapsed="false">
      <c r="B266" s="24" t="n">
        <f aca="false">IF(LEN(E266)&gt;1,1,0)</f>
        <v>1</v>
      </c>
      <c r="C266" s="17" t="str">
        <f aca="false">IF(B266=0,"*","")</f>
        <v/>
      </c>
      <c r="D266" s="74" t="s">
        <v>240</v>
      </c>
      <c r="E266" s="160" t="s">
        <v>74</v>
      </c>
      <c r="F266" s="160"/>
      <c r="G266" s="160"/>
      <c r="H266" s="160"/>
      <c r="I266" s="160" t="s">
        <v>74</v>
      </c>
      <c r="J266" s="160"/>
      <c r="K266" s="160"/>
      <c r="L266" s="160"/>
      <c r="M266" s="160"/>
      <c r="N266" s="160"/>
      <c r="O266" s="160"/>
      <c r="P266" s="160"/>
      <c r="Q266" s="160"/>
      <c r="R266" s="160"/>
      <c r="S266" s="160"/>
      <c r="T266" s="160"/>
      <c r="U266" s="160"/>
      <c r="V266" s="160"/>
      <c r="W266" s="160"/>
      <c r="X266" s="160"/>
      <c r="Y266" s="263"/>
      <c r="Z266" s="263"/>
      <c r="AA266" s="263"/>
      <c r="AB266" s="209"/>
      <c r="AC266" s="27"/>
    </row>
    <row r="267" customFormat="false" ht="26.25" hidden="false" customHeight="false" outlineLevel="0" collapsed="false">
      <c r="B267" s="24" t="n">
        <f aca="false">IF(LEN(E267)&gt;1,1,0)</f>
        <v>1</v>
      </c>
      <c r="C267" s="17" t="str">
        <f aca="false">IF(B267=0,"*","")</f>
        <v/>
      </c>
      <c r="D267" s="74" t="s">
        <v>241</v>
      </c>
      <c r="E267" s="160" t="s">
        <v>74</v>
      </c>
      <c r="F267" s="160"/>
      <c r="G267" s="160"/>
      <c r="H267" s="160"/>
      <c r="I267" s="160" t="s">
        <v>74</v>
      </c>
      <c r="J267" s="160"/>
      <c r="K267" s="160"/>
      <c r="L267" s="160"/>
      <c r="M267" s="160"/>
      <c r="N267" s="160"/>
      <c r="O267" s="160"/>
      <c r="P267" s="160"/>
      <c r="Q267" s="160"/>
      <c r="R267" s="160"/>
      <c r="S267" s="160"/>
      <c r="T267" s="160"/>
      <c r="U267" s="160"/>
      <c r="V267" s="160"/>
      <c r="W267" s="160"/>
      <c r="X267" s="160"/>
      <c r="Y267" s="263"/>
      <c r="Z267" s="263"/>
      <c r="AA267" s="263"/>
      <c r="AB267" s="209"/>
      <c r="AC267" s="27"/>
    </row>
    <row r="268" customFormat="false" ht="26.25" hidden="false" customHeight="false" outlineLevel="0" collapsed="false">
      <c r="B268" s="24" t="n">
        <f aca="false">IF(LEN(E268)&gt;1,1,0)</f>
        <v>1</v>
      </c>
      <c r="C268" s="17" t="str">
        <f aca="false">IF(B268=0,"*","")</f>
        <v/>
      </c>
      <c r="D268" s="80" t="s">
        <v>242</v>
      </c>
      <c r="E268" s="171" t="s">
        <v>74</v>
      </c>
      <c r="F268" s="171"/>
      <c r="G268" s="171"/>
      <c r="H268" s="171"/>
      <c r="I268" s="171" t="s">
        <v>74</v>
      </c>
      <c r="J268" s="171"/>
      <c r="K268" s="171"/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263"/>
      <c r="Z268" s="263"/>
      <c r="AA268" s="263"/>
      <c r="AB268" s="209"/>
      <c r="AC268" s="27"/>
    </row>
    <row r="269" customFormat="false" ht="24.75" hidden="false" customHeight="true" outlineLevel="0" collapsed="false">
      <c r="B269" s="24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  <c r="AA269" s="265"/>
      <c r="AB269" s="36"/>
      <c r="AC269" s="27"/>
    </row>
    <row r="270" customFormat="false" ht="40.5" hidden="false" customHeight="true" outlineLevel="0" collapsed="false">
      <c r="B270" s="24"/>
      <c r="D270" s="34" t="s">
        <v>243</v>
      </c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7"/>
      <c r="AC270" s="27"/>
    </row>
    <row r="271" customFormat="false" ht="40.5" hidden="false" customHeight="true" outlineLevel="0" collapsed="false">
      <c r="B271" s="24"/>
      <c r="D271" s="261"/>
      <c r="E271" s="157" t="s">
        <v>244</v>
      </c>
      <c r="F271" s="157"/>
      <c r="G271" s="157"/>
      <c r="H271" s="157"/>
      <c r="I271" s="157" t="s">
        <v>245</v>
      </c>
      <c r="J271" s="157"/>
      <c r="K271" s="157"/>
      <c r="L271" s="157"/>
      <c r="M271" s="157" t="s">
        <v>246</v>
      </c>
      <c r="N271" s="157"/>
      <c r="O271" s="157"/>
      <c r="P271" s="157"/>
      <c r="Q271" s="157" t="s">
        <v>247</v>
      </c>
      <c r="R271" s="157"/>
      <c r="S271" s="157"/>
      <c r="T271" s="157"/>
      <c r="U271" s="157" t="s">
        <v>248</v>
      </c>
      <c r="V271" s="157"/>
      <c r="W271" s="157"/>
      <c r="X271" s="157"/>
      <c r="Y271" s="266" t="s">
        <v>249</v>
      </c>
      <c r="Z271" s="266"/>
      <c r="AA271" s="266"/>
      <c r="AB271" s="267"/>
      <c r="AC271" s="27"/>
    </row>
    <row r="272" customFormat="false" ht="41.25" hidden="false" customHeight="true" outlineLevel="0" collapsed="false">
      <c r="B272" s="24" t="n">
        <f aca="false">IF(LEN(E272)&gt;1,1,0)</f>
        <v>1</v>
      </c>
      <c r="C272" s="17" t="str">
        <f aca="false">IF(B272=0,"*","")</f>
        <v/>
      </c>
      <c r="D272" s="88" t="s">
        <v>250</v>
      </c>
      <c r="E272" s="268" t="s">
        <v>74</v>
      </c>
      <c r="F272" s="268"/>
      <c r="G272" s="268"/>
      <c r="H272" s="268"/>
      <c r="I272" s="268"/>
      <c r="J272" s="268"/>
      <c r="K272" s="268"/>
      <c r="L272" s="268"/>
      <c r="M272" s="268"/>
      <c r="N272" s="268"/>
      <c r="O272" s="268"/>
      <c r="P272" s="268"/>
      <c r="Q272" s="268"/>
      <c r="R272" s="268"/>
      <c r="S272" s="268"/>
      <c r="T272" s="268"/>
      <c r="U272" s="268"/>
      <c r="V272" s="268"/>
      <c r="W272" s="268"/>
      <c r="X272" s="268"/>
      <c r="Y272" s="269"/>
      <c r="Z272" s="269"/>
      <c r="AA272" s="269"/>
      <c r="AB272" s="193"/>
      <c r="AC272" s="27"/>
    </row>
    <row r="273" customFormat="false" ht="30" hidden="false" customHeight="true" outlineLevel="0" collapsed="false">
      <c r="B273" s="24" t="n">
        <f aca="false">IF(LEN(E273)&gt;1,1,0)</f>
        <v>0</v>
      </c>
      <c r="C273" s="17" t="str">
        <f aca="false">IF(B273=0,"*","")</f>
        <v>*</v>
      </c>
      <c r="D273" s="74" t="s">
        <v>251</v>
      </c>
      <c r="E273" s="268"/>
      <c r="F273" s="268"/>
      <c r="G273" s="268"/>
      <c r="H273" s="268"/>
      <c r="I273" s="268"/>
      <c r="J273" s="268"/>
      <c r="K273" s="268"/>
      <c r="L273" s="268"/>
      <c r="M273" s="268"/>
      <c r="N273" s="268"/>
      <c r="O273" s="268"/>
      <c r="P273" s="268"/>
      <c r="Q273" s="268"/>
      <c r="R273" s="268"/>
      <c r="S273" s="268"/>
      <c r="T273" s="268"/>
      <c r="U273" s="268"/>
      <c r="V273" s="268"/>
      <c r="W273" s="268"/>
      <c r="X273" s="268"/>
      <c r="Y273" s="269"/>
      <c r="Z273" s="269"/>
      <c r="AA273" s="269"/>
      <c r="AB273" s="193"/>
      <c r="AC273" s="27"/>
    </row>
    <row r="274" customFormat="false" ht="40.5" hidden="false" customHeight="true" outlineLevel="0" collapsed="false">
      <c r="B274" s="24"/>
      <c r="D274" s="270"/>
      <c r="E274" s="270"/>
      <c r="F274" s="270"/>
      <c r="G274" s="270"/>
      <c r="H274" s="270"/>
      <c r="I274" s="270"/>
      <c r="J274" s="270"/>
      <c r="K274" s="270"/>
      <c r="L274" s="270"/>
      <c r="M274" s="270"/>
      <c r="N274" s="270"/>
      <c r="O274" s="270"/>
      <c r="P274" s="270"/>
      <c r="Q274" s="270"/>
      <c r="R274" s="270"/>
      <c r="S274" s="270"/>
      <c r="T274" s="270"/>
      <c r="U274" s="270"/>
      <c r="V274" s="270"/>
      <c r="W274" s="270"/>
      <c r="X274" s="270"/>
      <c r="Y274" s="270"/>
      <c r="Z274" s="270"/>
      <c r="AA274" s="270"/>
      <c r="AB274" s="36"/>
      <c r="AC274" s="27"/>
    </row>
    <row r="275" customFormat="false" ht="25.5" hidden="false" customHeight="true" outlineLevel="0" collapsed="false">
      <c r="B275" s="24" t="n">
        <f aca="false">IF(LEN(E275)&gt;1,1,0)</f>
        <v>1</v>
      </c>
      <c r="C275" s="271" t="str">
        <f aca="false">IF(B275=0,"*","")</f>
        <v/>
      </c>
      <c r="D275" s="74" t="s">
        <v>252</v>
      </c>
      <c r="E275" s="272" t="s">
        <v>253</v>
      </c>
      <c r="F275" s="272"/>
      <c r="G275" s="272"/>
      <c r="H275" s="272"/>
      <c r="I275" s="272"/>
      <c r="J275" s="272"/>
      <c r="K275" s="272"/>
      <c r="L275" s="272"/>
      <c r="M275" s="272"/>
      <c r="N275" s="272"/>
      <c r="O275" s="272"/>
      <c r="P275" s="272"/>
      <c r="Q275" s="272"/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  <c r="AB275" s="96"/>
      <c r="AC275" s="27"/>
    </row>
    <row r="276" customFormat="false" ht="36.75" hidden="false" customHeight="true" outlineLevel="0" collapsed="false">
      <c r="B276" s="24"/>
      <c r="C276" s="271"/>
      <c r="D276" s="74"/>
      <c r="E276" s="272"/>
      <c r="F276" s="272"/>
      <c r="G276" s="272"/>
      <c r="H276" s="272"/>
      <c r="I276" s="272"/>
      <c r="J276" s="272"/>
      <c r="K276" s="272"/>
      <c r="L276" s="272"/>
      <c r="M276" s="272"/>
      <c r="N276" s="272"/>
      <c r="O276" s="272"/>
      <c r="P276" s="272"/>
      <c r="Q276" s="272"/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  <c r="AB276" s="96"/>
      <c r="AC276" s="27"/>
    </row>
    <row r="277" customFormat="false" ht="25.5" hidden="false" customHeight="true" outlineLevel="0" collapsed="false">
      <c r="B277" s="24" t="n">
        <f aca="false">IF(LEN(E277)&gt;1,1,0)</f>
        <v>1</v>
      </c>
      <c r="C277" s="271" t="str">
        <f aca="false">IF(B277=0,"*","")</f>
        <v/>
      </c>
      <c r="D277" s="80" t="s">
        <v>254</v>
      </c>
      <c r="E277" s="272" t="s">
        <v>74</v>
      </c>
      <c r="F277" s="272"/>
      <c r="G277" s="272"/>
      <c r="H277" s="272"/>
      <c r="I277" s="272"/>
      <c r="J277" s="272"/>
      <c r="K277" s="272"/>
      <c r="L277" s="272"/>
      <c r="M277" s="272"/>
      <c r="N277" s="272"/>
      <c r="O277" s="272"/>
      <c r="P277" s="272"/>
      <c r="Q277" s="272"/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  <c r="AB277" s="96"/>
      <c r="AC277" s="27"/>
    </row>
    <row r="278" customFormat="false" ht="35.25" hidden="false" customHeight="true" outlineLevel="0" collapsed="false">
      <c r="B278" s="24"/>
      <c r="C278" s="271"/>
      <c r="D278" s="80"/>
      <c r="E278" s="272"/>
      <c r="F278" s="272"/>
      <c r="G278" s="272"/>
      <c r="H278" s="272"/>
      <c r="I278" s="272"/>
      <c r="J278" s="272"/>
      <c r="K278" s="272"/>
      <c r="L278" s="272"/>
      <c r="M278" s="272"/>
      <c r="N278" s="272"/>
      <c r="O278" s="272"/>
      <c r="P278" s="272"/>
      <c r="Q278" s="272"/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  <c r="AB278" s="96"/>
      <c r="AC278" s="27"/>
    </row>
    <row r="279" customFormat="false" ht="35.25" hidden="false" customHeight="true" outlineLevel="0" collapsed="false">
      <c r="B279" s="24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27"/>
    </row>
    <row r="280" customFormat="false" ht="44.25" hidden="false" customHeight="true" outlineLevel="0" collapsed="false">
      <c r="B280" s="24"/>
      <c r="D280" s="34" t="s">
        <v>255</v>
      </c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7"/>
      <c r="AC280" s="27"/>
    </row>
    <row r="281" customFormat="false" ht="25.5" hidden="false" customHeight="true" outlineLevel="0" collapsed="false">
      <c r="B281" s="24"/>
      <c r="D281" s="114" t="s">
        <v>256</v>
      </c>
      <c r="E281" s="114"/>
      <c r="F281" s="114"/>
      <c r="G281" s="114"/>
      <c r="H281" s="114"/>
      <c r="I281" s="273"/>
      <c r="J281" s="273"/>
      <c r="K281" s="273"/>
      <c r="L281" s="273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3"/>
      <c r="Y281" s="273"/>
      <c r="Z281" s="273"/>
      <c r="AA281" s="273"/>
      <c r="AB281" s="41"/>
      <c r="AC281" s="27"/>
    </row>
    <row r="282" customFormat="false" ht="26.25" hidden="false" customHeight="false" outlineLevel="0" collapsed="false">
      <c r="B282" s="24" t="n">
        <f aca="false">IF(SUM(E282:H286)&gt;0,1,0)</f>
        <v>1</v>
      </c>
      <c r="C282" s="17" t="str">
        <f aca="false">IF(B282=0,"*","")</f>
        <v/>
      </c>
      <c r="D282" s="274" t="s">
        <v>257</v>
      </c>
      <c r="E282" s="275" t="n">
        <v>1</v>
      </c>
      <c r="F282" s="275"/>
      <c r="G282" s="275"/>
      <c r="H282" s="275"/>
      <c r="I282" s="273"/>
      <c r="J282" s="273"/>
      <c r="K282" s="273"/>
      <c r="L282" s="273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3"/>
      <c r="Y282" s="273"/>
      <c r="Z282" s="273"/>
      <c r="AA282" s="273"/>
      <c r="AB282" s="41"/>
      <c r="AC282" s="27"/>
    </row>
    <row r="283" customFormat="false" ht="26.25" hidden="false" customHeight="false" outlineLevel="0" collapsed="false">
      <c r="B283" s="24"/>
      <c r="D283" s="276" t="s">
        <v>258</v>
      </c>
      <c r="E283" s="277" t="n">
        <v>0</v>
      </c>
      <c r="F283" s="277"/>
      <c r="G283" s="277"/>
      <c r="H283" s="277"/>
      <c r="I283" s="273"/>
      <c r="J283" s="273"/>
      <c r="K283" s="273"/>
      <c r="L283" s="273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41"/>
      <c r="AC283" s="27"/>
    </row>
    <row r="284" customFormat="false" ht="26.25" hidden="false" customHeight="false" outlineLevel="0" collapsed="false">
      <c r="B284" s="24"/>
      <c r="D284" s="276" t="s">
        <v>259</v>
      </c>
      <c r="E284" s="277" t="n">
        <v>0</v>
      </c>
      <c r="F284" s="277"/>
      <c r="G284" s="277"/>
      <c r="H284" s="277"/>
      <c r="I284" s="273"/>
      <c r="J284" s="273"/>
      <c r="K284" s="273"/>
      <c r="L284" s="273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3"/>
      <c r="Y284" s="273"/>
      <c r="Z284" s="273"/>
      <c r="AA284" s="273"/>
      <c r="AB284" s="41"/>
      <c r="AC284" s="27"/>
    </row>
    <row r="285" customFormat="false" ht="26.25" hidden="false" customHeight="false" outlineLevel="0" collapsed="false">
      <c r="B285" s="24"/>
      <c r="D285" s="276" t="s">
        <v>260</v>
      </c>
      <c r="E285" s="277" t="n">
        <v>0</v>
      </c>
      <c r="F285" s="277"/>
      <c r="G285" s="277"/>
      <c r="H285" s="277"/>
      <c r="I285" s="273"/>
      <c r="J285" s="273"/>
      <c r="K285" s="273"/>
      <c r="L285" s="273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3"/>
      <c r="Y285" s="273"/>
      <c r="Z285" s="273"/>
      <c r="AA285" s="273"/>
      <c r="AB285" s="41"/>
      <c r="AC285" s="27"/>
    </row>
    <row r="286" customFormat="false" ht="26.25" hidden="false" customHeight="false" outlineLevel="0" collapsed="false">
      <c r="B286" s="24"/>
      <c r="D286" s="276" t="s">
        <v>261</v>
      </c>
      <c r="E286" s="277" t="n">
        <v>0</v>
      </c>
      <c r="F286" s="277"/>
      <c r="G286" s="277"/>
      <c r="H286" s="277"/>
      <c r="I286" s="273"/>
      <c r="J286" s="273"/>
      <c r="K286" s="273"/>
      <c r="L286" s="273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3"/>
      <c r="Y286" s="273"/>
      <c r="Z286" s="273"/>
      <c r="AA286" s="273"/>
      <c r="AB286" s="41"/>
      <c r="AC286" s="27"/>
    </row>
    <row r="287" customFormat="false" ht="42" hidden="false" customHeight="true" outlineLevel="0" collapsed="false">
      <c r="B287" s="24"/>
      <c r="D287" s="88" t="s">
        <v>262</v>
      </c>
      <c r="E287" s="278" t="n">
        <f aca="false">SUM(E282:H286)</f>
        <v>1</v>
      </c>
      <c r="F287" s="278"/>
      <c r="G287" s="278"/>
      <c r="H287" s="278"/>
      <c r="I287" s="273"/>
      <c r="J287" s="273"/>
      <c r="K287" s="273"/>
      <c r="L287" s="273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3"/>
      <c r="Y287" s="273"/>
      <c r="Z287" s="273"/>
      <c r="AA287" s="273"/>
      <c r="AB287" s="41"/>
      <c r="AC287" s="27"/>
    </row>
    <row r="288" customFormat="false" ht="69" hidden="false" customHeight="true" outlineLevel="0" collapsed="false">
      <c r="B288" s="24" t="n">
        <f aca="false">IF(LEN(E288)&gt;1,1,0)</f>
        <v>0</v>
      </c>
      <c r="C288" s="17" t="str">
        <f aca="false">IF(B288=0,"*","")</f>
        <v>*</v>
      </c>
      <c r="D288" s="88" t="s">
        <v>263</v>
      </c>
      <c r="E288" s="277" t="n">
        <v>0</v>
      </c>
      <c r="F288" s="277"/>
      <c r="G288" s="277"/>
      <c r="H288" s="277"/>
      <c r="I288" s="273"/>
      <c r="J288" s="273"/>
      <c r="K288" s="273"/>
      <c r="L288" s="273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3"/>
      <c r="Y288" s="273"/>
      <c r="Z288" s="273"/>
      <c r="AA288" s="273"/>
      <c r="AB288" s="41"/>
      <c r="AC288" s="27"/>
    </row>
    <row r="289" customFormat="false" ht="26.25" hidden="false" customHeight="false" outlineLevel="0" collapsed="false">
      <c r="B289" s="24" t="n">
        <f aca="false">IF(LEN(E289)&gt;1,1,0)</f>
        <v>1</v>
      </c>
      <c r="C289" s="17" t="str">
        <f aca="false">IF(B289=0,"*","")</f>
        <v/>
      </c>
      <c r="D289" s="88" t="s">
        <v>264</v>
      </c>
      <c r="E289" s="277" t="s">
        <v>67</v>
      </c>
      <c r="F289" s="277"/>
      <c r="G289" s="277"/>
      <c r="H289" s="277"/>
      <c r="I289" s="273"/>
      <c r="J289" s="273"/>
      <c r="K289" s="273"/>
      <c r="L289" s="273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3"/>
      <c r="Y289" s="273"/>
      <c r="Z289" s="273"/>
      <c r="AA289" s="273"/>
      <c r="AB289" s="41"/>
      <c r="AC289" s="27"/>
    </row>
    <row r="290" customFormat="false" ht="26.25" hidden="false" customHeight="false" outlineLevel="0" collapsed="false">
      <c r="B290" s="24" t="n">
        <f aca="false">IF(OR(E289="No",LEN(E289)&lt;1),1,IF(LEN(E290)&gt;0,1,0))</f>
        <v>1</v>
      </c>
      <c r="C290" s="17" t="str">
        <f aca="false">IF(B290=0,"*","")</f>
        <v/>
      </c>
      <c r="D290" s="74" t="str">
        <f aca="false">IF(OR(E289="No",LEN(E289)&lt;1),"","No. de personas por honorarios:")</f>
        <v/>
      </c>
      <c r="E290" s="277"/>
      <c r="F290" s="277"/>
      <c r="G290" s="277"/>
      <c r="H290" s="277"/>
      <c r="I290" s="273"/>
      <c r="J290" s="273"/>
      <c r="K290" s="273"/>
      <c r="L290" s="273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3"/>
      <c r="Y290" s="273"/>
      <c r="Z290" s="273"/>
      <c r="AA290" s="273"/>
      <c r="AB290" s="41"/>
      <c r="AC290" s="27"/>
    </row>
    <row r="291" customFormat="false" ht="26.25" hidden="false" customHeight="false" outlineLevel="0" collapsed="false">
      <c r="B291" s="24" t="n">
        <f aca="false">IF(LEN(E291)&gt;1,1,0)</f>
        <v>1</v>
      </c>
      <c r="C291" s="17" t="str">
        <f aca="false">IF(B291=0,"*","")</f>
        <v/>
      </c>
      <c r="D291" s="88" t="s">
        <v>265</v>
      </c>
      <c r="E291" s="277" t="s">
        <v>67</v>
      </c>
      <c r="F291" s="277"/>
      <c r="G291" s="277"/>
      <c r="H291" s="277"/>
      <c r="I291" s="273"/>
      <c r="J291" s="273"/>
      <c r="K291" s="273"/>
      <c r="L291" s="273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3"/>
      <c r="Y291" s="273"/>
      <c r="Z291" s="273"/>
      <c r="AA291" s="273"/>
      <c r="AB291" s="41"/>
      <c r="AC291" s="27"/>
    </row>
    <row r="292" customFormat="false" ht="26.25" hidden="false" customHeight="false" outlineLevel="0" collapsed="false">
      <c r="B292" s="24" t="n">
        <f aca="false">IF(OR(E291="No",LEN(E291)&lt;1),1,IF(LEN(E292)&gt;0,1,0))</f>
        <v>1</v>
      </c>
      <c r="C292" s="17" t="str">
        <f aca="false">IF(B292=0,"*","")</f>
        <v/>
      </c>
      <c r="D292" s="74" t="str">
        <f aca="false">IF(OR(E291="No",LEN(E291)&lt;1),"","No. de personas por outsourcing:")</f>
        <v/>
      </c>
      <c r="E292" s="277"/>
      <c r="F292" s="277"/>
      <c r="G292" s="277"/>
      <c r="H292" s="277"/>
      <c r="I292" s="273"/>
      <c r="J292" s="273"/>
      <c r="K292" s="273"/>
      <c r="L292" s="273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3"/>
      <c r="Y292" s="273"/>
      <c r="Z292" s="273"/>
      <c r="AA292" s="273"/>
      <c r="AB292" s="41"/>
      <c r="AC292" s="27"/>
    </row>
    <row r="293" customFormat="false" ht="26.25" hidden="false" customHeight="false" outlineLevel="0" collapsed="false">
      <c r="B293" s="24" t="n">
        <f aca="false">IF(OR(E291="No",LEN(E291)&lt;1),1,IF(LEN(E293)&gt;1,1,0))</f>
        <v>1</v>
      </c>
      <c r="C293" s="17" t="str">
        <f aca="false">IF(B293=0,"*","")</f>
        <v/>
      </c>
      <c r="D293" s="80" t="str">
        <f aca="false">IF(OR(E291="No",LEN(E291)&lt;1),"","Nombre de la compañía:")</f>
        <v/>
      </c>
      <c r="E293" s="279"/>
      <c r="F293" s="279"/>
      <c r="G293" s="279"/>
      <c r="H293" s="279"/>
      <c r="I293" s="273"/>
      <c r="J293" s="273"/>
      <c r="K293" s="273"/>
      <c r="L293" s="273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3"/>
      <c r="Y293" s="273"/>
      <c r="Z293" s="273"/>
      <c r="AA293" s="273"/>
      <c r="AB293" s="41"/>
      <c r="AC293" s="27"/>
    </row>
    <row r="294" customFormat="false" ht="26.25" hidden="false" customHeight="false" outlineLevel="0" collapsed="false">
      <c r="B294" s="24"/>
      <c r="D294" s="280"/>
      <c r="E294" s="281"/>
      <c r="F294" s="281"/>
      <c r="G294" s="281"/>
      <c r="H294" s="28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27"/>
    </row>
    <row r="295" customFormat="false" ht="39" hidden="false" customHeight="true" outlineLevel="0" collapsed="false">
      <c r="B295" s="24"/>
      <c r="D295" s="34" t="s">
        <v>266</v>
      </c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7"/>
      <c r="AC295" s="27"/>
    </row>
    <row r="296" customFormat="false" ht="36.75" hidden="false" customHeight="true" outlineLevel="0" collapsed="false">
      <c r="B296" s="24"/>
      <c r="D296" s="282"/>
      <c r="E296" s="157" t="s">
        <v>267</v>
      </c>
      <c r="F296" s="157"/>
      <c r="G296" s="157"/>
      <c r="H296" s="157"/>
      <c r="I296" s="157" t="s">
        <v>268</v>
      </c>
      <c r="J296" s="157"/>
      <c r="K296" s="157"/>
      <c r="L296" s="157"/>
      <c r="M296" s="157" t="s">
        <v>269</v>
      </c>
      <c r="N296" s="157"/>
      <c r="O296" s="157"/>
      <c r="P296" s="157"/>
      <c r="Q296" s="157" t="s">
        <v>270</v>
      </c>
      <c r="R296" s="157"/>
      <c r="S296" s="157"/>
      <c r="T296" s="157"/>
      <c r="U296" s="157" t="s">
        <v>271</v>
      </c>
      <c r="V296" s="157"/>
      <c r="W296" s="157"/>
      <c r="X296" s="157"/>
      <c r="Y296" s="283"/>
      <c r="Z296" s="283"/>
      <c r="AA296" s="283"/>
      <c r="AB296" s="284"/>
      <c r="AC296" s="27"/>
    </row>
    <row r="297" customFormat="false" ht="51.75" hidden="false" customHeight="true" outlineLevel="0" collapsed="false">
      <c r="B297" s="24" t="n">
        <f aca="false">IF(LEN(E297)&gt;1,1,0)</f>
        <v>1</v>
      </c>
      <c r="C297" s="17" t="str">
        <f aca="false">IF(B297=0,"*","")</f>
        <v/>
      </c>
      <c r="D297" s="285" t="s">
        <v>272</v>
      </c>
      <c r="E297" s="286" t="s">
        <v>74</v>
      </c>
      <c r="F297" s="286"/>
      <c r="G297" s="286"/>
      <c r="H297" s="286"/>
      <c r="I297" s="268"/>
      <c r="J297" s="268"/>
      <c r="K297" s="268"/>
      <c r="L297" s="268"/>
      <c r="M297" s="268"/>
      <c r="N297" s="268"/>
      <c r="O297" s="268"/>
      <c r="P297" s="268"/>
      <c r="Q297" s="268"/>
      <c r="R297" s="268"/>
      <c r="S297" s="268"/>
      <c r="T297" s="268"/>
      <c r="U297" s="268"/>
      <c r="V297" s="268"/>
      <c r="W297" s="268"/>
      <c r="X297" s="268"/>
      <c r="Y297" s="283"/>
      <c r="Z297" s="283"/>
      <c r="AA297" s="283"/>
      <c r="AB297" s="284"/>
      <c r="AC297" s="27"/>
    </row>
    <row r="298" customFormat="false" ht="30.75" hidden="false" customHeight="true" outlineLevel="0" collapsed="false">
      <c r="B298" s="24" t="n">
        <f aca="false">IF(LEN(E298)&gt;1,1,0)</f>
        <v>1</v>
      </c>
      <c r="C298" s="17" t="str">
        <f aca="false">IF(B298=0,"*","")</f>
        <v/>
      </c>
      <c r="D298" s="287" t="s">
        <v>273</v>
      </c>
      <c r="E298" s="286" t="s">
        <v>74</v>
      </c>
      <c r="F298" s="286"/>
      <c r="G298" s="286"/>
      <c r="H298" s="286"/>
      <c r="I298" s="268"/>
      <c r="J298" s="268"/>
      <c r="K298" s="268"/>
      <c r="L298" s="268"/>
      <c r="M298" s="268"/>
      <c r="N298" s="268"/>
      <c r="O298" s="268"/>
      <c r="P298" s="268"/>
      <c r="Q298" s="268"/>
      <c r="R298" s="268"/>
      <c r="S298" s="268"/>
      <c r="T298" s="268"/>
      <c r="U298" s="268"/>
      <c r="V298" s="268"/>
      <c r="W298" s="268"/>
      <c r="X298" s="268"/>
      <c r="Y298" s="283"/>
      <c r="Z298" s="283"/>
      <c r="AA298" s="283"/>
      <c r="AB298" s="284"/>
      <c r="AC298" s="27"/>
    </row>
    <row r="299" customFormat="false" ht="24" hidden="false" customHeight="true" outlineLevel="0" collapsed="false">
      <c r="B299" s="24" t="n">
        <f aca="false">IF(LEN(E299)&gt;1,1,0)</f>
        <v>1</v>
      </c>
      <c r="C299" s="17" t="str">
        <f aca="false">IF(B299=0,"*","")</f>
        <v/>
      </c>
      <c r="D299" s="287" t="s">
        <v>274</v>
      </c>
      <c r="E299" s="286" t="s">
        <v>74</v>
      </c>
      <c r="F299" s="286"/>
      <c r="G299" s="286"/>
      <c r="H299" s="286"/>
      <c r="I299" s="268"/>
      <c r="J299" s="268"/>
      <c r="K299" s="268"/>
      <c r="L299" s="268"/>
      <c r="M299" s="268"/>
      <c r="N299" s="268"/>
      <c r="O299" s="268"/>
      <c r="P299" s="268"/>
      <c r="Q299" s="268"/>
      <c r="R299" s="268"/>
      <c r="S299" s="268"/>
      <c r="T299" s="268"/>
      <c r="U299" s="268"/>
      <c r="V299" s="268"/>
      <c r="W299" s="268"/>
      <c r="X299" s="268"/>
      <c r="Y299" s="283"/>
      <c r="Z299" s="283"/>
      <c r="AA299" s="283"/>
      <c r="AB299" s="284"/>
      <c r="AC299" s="27"/>
    </row>
    <row r="300" customFormat="false" ht="25.5" hidden="false" customHeight="true" outlineLevel="0" collapsed="false">
      <c r="B300" s="24" t="n">
        <f aca="false">IF(LEN(E300)&gt;1,1,0)</f>
        <v>1</v>
      </c>
      <c r="C300" s="17" t="str">
        <f aca="false">IF(B300=0,"*","")</f>
        <v/>
      </c>
      <c r="D300" s="288" t="s">
        <v>275</v>
      </c>
      <c r="E300" s="286" t="s">
        <v>74</v>
      </c>
      <c r="F300" s="286"/>
      <c r="G300" s="286"/>
      <c r="H300" s="286"/>
      <c r="I300" s="289"/>
      <c r="J300" s="289"/>
      <c r="K300" s="289"/>
      <c r="L300" s="289"/>
      <c r="M300" s="289"/>
      <c r="N300" s="289"/>
      <c r="O300" s="289"/>
      <c r="P300" s="289"/>
      <c r="Q300" s="289"/>
      <c r="R300" s="289"/>
      <c r="S300" s="289"/>
      <c r="T300" s="289"/>
      <c r="U300" s="289"/>
      <c r="V300" s="289"/>
      <c r="W300" s="289"/>
      <c r="X300" s="289"/>
      <c r="Y300" s="283"/>
      <c r="Z300" s="283"/>
      <c r="AA300" s="283"/>
      <c r="AB300" s="284"/>
      <c r="AC300" s="27"/>
    </row>
    <row r="301" customFormat="false" ht="26.25" hidden="false" customHeight="false" outlineLevel="0" collapsed="false">
      <c r="B301" s="24"/>
      <c r="AC301" s="27"/>
    </row>
    <row r="302" customFormat="false" ht="26.25" hidden="false" customHeight="false" outlineLevel="0" collapsed="false">
      <c r="B302" s="24"/>
      <c r="AC302" s="27"/>
    </row>
    <row r="303" customFormat="false" ht="40.5" hidden="false" customHeight="true" outlineLevel="0" collapsed="false">
      <c r="B303" s="24"/>
      <c r="D303" s="34" t="s">
        <v>276</v>
      </c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7"/>
      <c r="AC303" s="27"/>
    </row>
    <row r="304" customFormat="false" ht="38.25" hidden="false" customHeight="true" outlineLevel="0" collapsed="false">
      <c r="B304" s="24" t="n">
        <f aca="false">IF(R304&gt;0,1,0)</f>
        <v>0</v>
      </c>
      <c r="C304" s="17" t="str">
        <f aca="false">IF(B304=0,"*","")</f>
        <v>*</v>
      </c>
      <c r="D304" s="290"/>
      <c r="E304" s="290"/>
      <c r="F304" s="290"/>
      <c r="G304" s="290"/>
      <c r="H304" s="290"/>
      <c r="I304" s="290"/>
      <c r="J304" s="290"/>
      <c r="K304" s="290"/>
      <c r="L304" s="290"/>
      <c r="M304" s="291" t="s">
        <v>277</v>
      </c>
      <c r="N304" s="291"/>
      <c r="O304" s="291"/>
      <c r="P304" s="291"/>
      <c r="Q304" s="291"/>
      <c r="R304" s="292"/>
      <c r="S304" s="292"/>
      <c r="T304" s="292"/>
      <c r="U304" s="292"/>
      <c r="V304" s="292"/>
      <c r="W304" s="292"/>
      <c r="X304" s="292"/>
      <c r="Y304" s="292"/>
      <c r="Z304" s="292"/>
      <c r="AA304" s="292"/>
      <c r="AB304" s="73"/>
      <c r="AC304" s="27"/>
    </row>
    <row r="305" customFormat="false" ht="31.5" hidden="false" customHeight="true" outlineLevel="0" collapsed="false">
      <c r="B305" s="24" t="n">
        <f aca="false">IF(Y314=100%,1,0)</f>
        <v>0</v>
      </c>
      <c r="C305" s="17" t="str">
        <f aca="false">IF(B305=0,"*","")</f>
        <v>*</v>
      </c>
      <c r="D305" s="290"/>
      <c r="E305" s="290"/>
      <c r="F305" s="290"/>
      <c r="G305" s="290"/>
      <c r="H305" s="290"/>
      <c r="I305" s="290"/>
      <c r="J305" s="290"/>
      <c r="K305" s="290"/>
      <c r="L305" s="290"/>
      <c r="M305" s="293" t="s">
        <v>278</v>
      </c>
      <c r="N305" s="293"/>
      <c r="O305" s="293"/>
      <c r="P305" s="293"/>
      <c r="Q305" s="293"/>
      <c r="R305" s="293"/>
      <c r="S305" s="293"/>
      <c r="T305" s="293"/>
      <c r="U305" s="293"/>
      <c r="V305" s="293"/>
      <c r="W305" s="293"/>
      <c r="X305" s="293"/>
      <c r="Y305" s="293"/>
      <c r="Z305" s="293"/>
      <c r="AA305" s="293"/>
      <c r="AB305" s="294"/>
      <c r="AC305" s="27"/>
    </row>
    <row r="306" customFormat="false" ht="26.25" hidden="false" customHeight="false" outlineLevel="0" collapsed="false">
      <c r="B306" s="24"/>
      <c r="D306" s="290"/>
      <c r="E306" s="290"/>
      <c r="F306" s="290"/>
      <c r="G306" s="290"/>
      <c r="H306" s="290"/>
      <c r="I306" s="290"/>
      <c r="J306" s="290"/>
      <c r="K306" s="290"/>
      <c r="L306" s="290"/>
      <c r="M306" s="295" t="s">
        <v>279</v>
      </c>
      <c r="N306" s="295"/>
      <c r="O306" s="295"/>
      <c r="P306" s="295"/>
      <c r="Q306" s="296"/>
      <c r="R306" s="296"/>
      <c r="S306" s="296"/>
      <c r="T306" s="296"/>
      <c r="U306" s="296"/>
      <c r="V306" s="296"/>
      <c r="W306" s="296"/>
      <c r="X306" s="296"/>
      <c r="Y306" s="296"/>
      <c r="Z306" s="296"/>
      <c r="AA306" s="296"/>
      <c r="AB306" s="297"/>
      <c r="AC306" s="27"/>
    </row>
    <row r="307" customFormat="false" ht="26.25" hidden="false" customHeight="false" outlineLevel="0" collapsed="false">
      <c r="B307" s="24"/>
      <c r="D307" s="290"/>
      <c r="E307" s="290"/>
      <c r="F307" s="290"/>
      <c r="G307" s="290"/>
      <c r="H307" s="290"/>
      <c r="I307" s="290"/>
      <c r="J307" s="290"/>
      <c r="K307" s="290"/>
      <c r="L307" s="290"/>
      <c r="M307" s="298" t="s">
        <v>280</v>
      </c>
      <c r="N307" s="299"/>
      <c r="O307" s="299"/>
      <c r="P307" s="299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  <c r="AA307" s="300"/>
      <c r="AB307" s="297"/>
      <c r="AC307" s="27"/>
    </row>
    <row r="308" customFormat="false" ht="26.25" hidden="false" customHeight="false" outlineLevel="0" collapsed="false">
      <c r="B308" s="24"/>
      <c r="D308" s="290"/>
      <c r="E308" s="290"/>
      <c r="F308" s="290"/>
      <c r="G308" s="290"/>
      <c r="H308" s="290"/>
      <c r="I308" s="290"/>
      <c r="J308" s="290"/>
      <c r="K308" s="290"/>
      <c r="L308" s="290"/>
      <c r="M308" s="298" t="s">
        <v>281</v>
      </c>
      <c r="N308" s="298"/>
      <c r="O308" s="298"/>
      <c r="P308" s="298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  <c r="AA308" s="300"/>
      <c r="AB308" s="297"/>
      <c r="AC308" s="27"/>
    </row>
    <row r="309" customFormat="false" ht="26.25" hidden="false" customHeight="false" outlineLevel="0" collapsed="false">
      <c r="B309" s="24"/>
      <c r="D309" s="290"/>
      <c r="E309" s="290"/>
      <c r="F309" s="290"/>
      <c r="G309" s="290"/>
      <c r="H309" s="290"/>
      <c r="I309" s="290"/>
      <c r="J309" s="290"/>
      <c r="K309" s="290"/>
      <c r="L309" s="290"/>
      <c r="M309" s="298" t="s">
        <v>282</v>
      </c>
      <c r="N309" s="298"/>
      <c r="O309" s="298"/>
      <c r="P309" s="298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  <c r="AA309" s="300"/>
      <c r="AB309" s="297"/>
      <c r="AC309" s="27"/>
    </row>
    <row r="310" customFormat="false" ht="26.25" hidden="false" customHeight="false" outlineLevel="0" collapsed="false">
      <c r="B310" s="24"/>
      <c r="D310" s="290"/>
      <c r="E310" s="290"/>
      <c r="F310" s="290"/>
      <c r="G310" s="290"/>
      <c r="H310" s="290"/>
      <c r="I310" s="290"/>
      <c r="J310" s="290"/>
      <c r="K310" s="290"/>
      <c r="L310" s="290"/>
      <c r="M310" s="298" t="s">
        <v>283</v>
      </c>
      <c r="N310" s="298"/>
      <c r="O310" s="298"/>
      <c r="P310" s="298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  <c r="AA310" s="300"/>
      <c r="AB310" s="297"/>
      <c r="AC310" s="27"/>
    </row>
    <row r="311" customFormat="false" ht="26.25" hidden="false" customHeight="false" outlineLevel="0" collapsed="false">
      <c r="B311" s="24"/>
      <c r="D311" s="290"/>
      <c r="E311" s="290"/>
      <c r="F311" s="290"/>
      <c r="G311" s="290"/>
      <c r="H311" s="290"/>
      <c r="I311" s="290"/>
      <c r="J311" s="290"/>
      <c r="K311" s="290"/>
      <c r="L311" s="290"/>
      <c r="M311" s="298" t="s">
        <v>284</v>
      </c>
      <c r="N311" s="298"/>
      <c r="O311" s="298"/>
      <c r="P311" s="298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  <c r="AA311" s="300"/>
      <c r="AB311" s="297"/>
      <c r="AC311" s="27"/>
    </row>
    <row r="312" customFormat="false" ht="26.25" hidden="false" customHeight="false" outlineLevel="0" collapsed="false">
      <c r="B312" s="24"/>
      <c r="D312" s="290"/>
      <c r="E312" s="290"/>
      <c r="F312" s="290"/>
      <c r="G312" s="290"/>
      <c r="H312" s="290"/>
      <c r="I312" s="290"/>
      <c r="J312" s="290"/>
      <c r="K312" s="290"/>
      <c r="L312" s="290"/>
      <c r="M312" s="298" t="s">
        <v>285</v>
      </c>
      <c r="N312" s="298"/>
      <c r="O312" s="298"/>
      <c r="P312" s="298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  <c r="AA312" s="300"/>
      <c r="AB312" s="297"/>
      <c r="AC312" s="27"/>
    </row>
    <row r="313" customFormat="false" ht="26.25" hidden="false" customHeight="false" outlineLevel="0" collapsed="false">
      <c r="B313" s="24"/>
      <c r="D313" s="290"/>
      <c r="E313" s="290"/>
      <c r="F313" s="290"/>
      <c r="G313" s="290"/>
      <c r="H313" s="290"/>
      <c r="I313" s="290"/>
      <c r="J313" s="290"/>
      <c r="K313" s="290"/>
      <c r="L313" s="290"/>
      <c r="M313" s="301" t="s">
        <v>286</v>
      </c>
      <c r="N313" s="301"/>
      <c r="O313" s="301"/>
      <c r="P313" s="301"/>
      <c r="Q313" s="302"/>
      <c r="R313" s="302"/>
      <c r="S313" s="302"/>
      <c r="T313" s="302"/>
      <c r="U313" s="302"/>
      <c r="V313" s="302"/>
      <c r="W313" s="302"/>
      <c r="X313" s="302"/>
      <c r="Y313" s="302"/>
      <c r="Z313" s="302"/>
      <c r="AA313" s="302"/>
      <c r="AB313" s="297"/>
      <c r="AC313" s="27"/>
    </row>
    <row r="314" customFormat="false" ht="40.5" hidden="false" customHeight="true" outlineLevel="0" collapsed="false">
      <c r="B314" s="24"/>
      <c r="D314" s="114" t="s">
        <v>287</v>
      </c>
      <c r="E314" s="114"/>
      <c r="F314" s="114"/>
      <c r="G314" s="114"/>
      <c r="H314" s="114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4" t="s">
        <v>288</v>
      </c>
      <c r="X314" s="304"/>
      <c r="Y314" s="305" t="n">
        <f aca="false">IF(SUM(Q306:AA313)&gt;1,"Error ha excedido el 100%",SUM(Q306:AA313))</f>
        <v>0</v>
      </c>
      <c r="Z314" s="305"/>
      <c r="AA314" s="305"/>
      <c r="AB314" s="306"/>
      <c r="AC314" s="27"/>
    </row>
    <row r="315" customFormat="false" ht="26.25" hidden="false" customHeight="false" outlineLevel="0" collapsed="false">
      <c r="B315" s="24"/>
      <c r="D315" s="71" t="s">
        <v>289</v>
      </c>
      <c r="E315" s="307" t="n">
        <v>1</v>
      </c>
      <c r="F315" s="307"/>
      <c r="G315" s="307"/>
      <c r="H315" s="307"/>
      <c r="I315" s="303"/>
      <c r="J315" s="303"/>
      <c r="K315" s="303"/>
      <c r="L315" s="303"/>
      <c r="M315" s="303"/>
      <c r="N315" s="303"/>
      <c r="O315" s="303"/>
      <c r="P315" s="303"/>
      <c r="Q315" s="303"/>
      <c r="R315" s="303"/>
      <c r="S315" s="303"/>
      <c r="T315" s="303"/>
      <c r="U315" s="303"/>
      <c r="V315" s="303"/>
      <c r="W315" s="308"/>
      <c r="X315" s="308"/>
      <c r="Y315" s="308"/>
      <c r="Z315" s="308"/>
      <c r="AA315" s="309"/>
      <c r="AC315" s="27"/>
    </row>
    <row r="316" customFormat="false" ht="26.25" hidden="false" customHeight="false" outlineLevel="0" collapsed="false">
      <c r="B316" s="24"/>
      <c r="D316" s="74" t="s">
        <v>290</v>
      </c>
      <c r="E316" s="310" t="n">
        <f aca="false">1-E315</f>
        <v>0</v>
      </c>
      <c r="F316" s="310"/>
      <c r="G316" s="310"/>
      <c r="H316" s="310"/>
      <c r="I316" s="303"/>
      <c r="J316" s="303"/>
      <c r="K316" s="303"/>
      <c r="L316" s="303"/>
      <c r="M316" s="303"/>
      <c r="N316" s="303"/>
      <c r="O316" s="303"/>
      <c r="P316" s="303"/>
      <c r="Q316" s="303"/>
      <c r="R316" s="303"/>
      <c r="S316" s="303"/>
      <c r="T316" s="303"/>
      <c r="U316" s="303"/>
      <c r="V316" s="303"/>
      <c r="W316" s="308"/>
      <c r="X316" s="308"/>
      <c r="Y316" s="308"/>
      <c r="Z316" s="308"/>
      <c r="AA316" s="309"/>
      <c r="AC316" s="27"/>
    </row>
    <row r="317" customFormat="false" ht="48" hidden="false" customHeight="true" outlineLevel="0" collapsed="false">
      <c r="B317" s="24" t="n">
        <f aca="false">IF(OR(E316=0),1,IF(LEN(E293)&gt;1,1,0))</f>
        <v>1</v>
      </c>
      <c r="C317" s="17" t="str">
        <f aca="false">IF(B317=0,"*","")</f>
        <v/>
      </c>
      <c r="D317" s="74" t="str">
        <f aca="false">IF(OR(E316=0),"","Países a donde exporta:")</f>
        <v/>
      </c>
      <c r="E317" s="311"/>
      <c r="F317" s="311"/>
      <c r="G317" s="311"/>
      <c r="H317" s="311"/>
      <c r="I317" s="311"/>
      <c r="J317" s="311"/>
      <c r="K317" s="311"/>
      <c r="L317" s="311"/>
      <c r="M317" s="311"/>
      <c r="N317" s="311"/>
      <c r="O317" s="311"/>
      <c r="P317" s="311"/>
      <c r="Q317" s="311"/>
      <c r="R317" s="311"/>
      <c r="S317" s="311"/>
      <c r="T317" s="311"/>
      <c r="U317" s="311"/>
      <c r="V317" s="311"/>
      <c r="W317" s="311"/>
      <c r="X317" s="311"/>
      <c r="Y317" s="311"/>
      <c r="Z317" s="311"/>
      <c r="AA317" s="311"/>
      <c r="AB317" s="96"/>
      <c r="AC317" s="27"/>
    </row>
    <row r="318" customFormat="false" ht="21.75" hidden="false" customHeight="true" outlineLevel="0" collapsed="false">
      <c r="B318" s="24" t="n">
        <f aca="false">IF(AND(LEN(E318)&gt;1,LEN(E319)&gt;1),1,0)</f>
        <v>0</v>
      </c>
      <c r="C318" s="17" t="str">
        <f aca="false">IF(B318=0,"*","")</f>
        <v>*</v>
      </c>
      <c r="D318" s="74" t="s">
        <v>291</v>
      </c>
      <c r="E318" s="286" t="s">
        <v>292</v>
      </c>
      <c r="F318" s="286"/>
      <c r="G318" s="286"/>
      <c r="H318" s="286"/>
      <c r="I318" s="312"/>
      <c r="J318" s="312"/>
      <c r="K318" s="312"/>
      <c r="L318" s="312"/>
      <c r="M318" s="312"/>
      <c r="N318" s="312"/>
      <c r="O318" s="312"/>
      <c r="P318" s="312"/>
      <c r="Q318" s="312"/>
      <c r="R318" s="312"/>
      <c r="S318" s="312"/>
      <c r="T318" s="312"/>
      <c r="U318" s="312"/>
      <c r="V318" s="312"/>
      <c r="W318" s="312"/>
      <c r="X318" s="312"/>
      <c r="Y318" s="312"/>
      <c r="Z318" s="312"/>
      <c r="AA318" s="312"/>
      <c r="AB318" s="36"/>
      <c r="AC318" s="27"/>
    </row>
    <row r="319" customFormat="false" ht="21.75" hidden="false" customHeight="true" outlineLevel="0" collapsed="false">
      <c r="B319" s="24"/>
      <c r="D319" s="74"/>
      <c r="E319" s="268"/>
      <c r="F319" s="268"/>
      <c r="G319" s="268"/>
      <c r="H319" s="268"/>
      <c r="I319" s="312"/>
      <c r="J319" s="312"/>
      <c r="K319" s="312"/>
      <c r="L319" s="312"/>
      <c r="M319" s="312"/>
      <c r="N319" s="312"/>
      <c r="O319" s="312"/>
      <c r="P319" s="312"/>
      <c r="Q319" s="312"/>
      <c r="R319" s="312"/>
      <c r="S319" s="312"/>
      <c r="T319" s="312"/>
      <c r="U319" s="312"/>
      <c r="V319" s="312"/>
      <c r="W319" s="312"/>
      <c r="X319" s="312"/>
      <c r="Y319" s="312"/>
      <c r="Z319" s="312"/>
      <c r="AA319" s="312"/>
      <c r="AB319" s="36"/>
      <c r="AC319" s="27"/>
    </row>
    <row r="320" customFormat="false" ht="32.25" hidden="false" customHeight="true" outlineLevel="0" collapsed="false">
      <c r="B320" s="24" t="n">
        <f aca="false">IF(LEN(E320)&gt;1,1,0)</f>
        <v>1</v>
      </c>
      <c r="C320" s="17" t="str">
        <f aca="false">IF(B320=0,"*","")</f>
        <v/>
      </c>
      <c r="D320" s="74" t="s">
        <v>293</v>
      </c>
      <c r="E320" s="272" t="s">
        <v>74</v>
      </c>
      <c r="F320" s="272"/>
      <c r="G320" s="272"/>
      <c r="H320" s="272"/>
      <c r="I320" s="272"/>
      <c r="J320" s="272"/>
      <c r="K320" s="272"/>
      <c r="L320" s="272"/>
      <c r="M320" s="272"/>
      <c r="N320" s="272"/>
      <c r="O320" s="272"/>
      <c r="P320" s="272"/>
      <c r="Q320" s="272"/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  <c r="AB320" s="96"/>
      <c r="AC320" s="27"/>
    </row>
    <row r="321" customFormat="false" ht="81.75" hidden="false" customHeight="true" outlineLevel="0" collapsed="false">
      <c r="B321" s="24" t="n">
        <f aca="false">IF(LEN(E321)&gt;1,1,0)</f>
        <v>1</v>
      </c>
      <c r="C321" s="17" t="str">
        <f aca="false">IF(B321=0,"*","")</f>
        <v/>
      </c>
      <c r="D321" s="88" t="s">
        <v>294</v>
      </c>
      <c r="E321" s="272" t="s">
        <v>74</v>
      </c>
      <c r="F321" s="272"/>
      <c r="G321" s="272"/>
      <c r="H321" s="272"/>
      <c r="I321" s="272"/>
      <c r="J321" s="272"/>
      <c r="K321" s="272"/>
      <c r="L321" s="272"/>
      <c r="M321" s="272"/>
      <c r="N321" s="272"/>
      <c r="O321" s="272"/>
      <c r="P321" s="272"/>
      <c r="Q321" s="272"/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  <c r="AB321" s="36"/>
      <c r="AC321" s="27"/>
    </row>
    <row r="322" customFormat="false" ht="38.25" hidden="false" customHeight="true" outlineLevel="0" collapsed="false">
      <c r="B322" s="24"/>
      <c r="D322" s="34" t="s">
        <v>295</v>
      </c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7"/>
      <c r="AC322" s="27"/>
    </row>
    <row r="323" customFormat="false" ht="32.25" hidden="false" customHeight="true" outlineLevel="0" collapsed="false">
      <c r="B323" s="24"/>
      <c r="D323" s="313"/>
      <c r="E323" s="157" t="s">
        <v>296</v>
      </c>
      <c r="F323" s="157"/>
      <c r="G323" s="157"/>
      <c r="H323" s="157"/>
      <c r="I323" s="157" t="s">
        <v>297</v>
      </c>
      <c r="J323" s="157"/>
      <c r="K323" s="157"/>
      <c r="L323" s="157"/>
      <c r="M323" s="157" t="s">
        <v>298</v>
      </c>
      <c r="N323" s="157"/>
      <c r="O323" s="157"/>
      <c r="P323" s="157"/>
      <c r="Q323" s="157" t="s">
        <v>299</v>
      </c>
      <c r="R323" s="157"/>
      <c r="S323" s="157"/>
      <c r="T323" s="157"/>
      <c r="U323" s="157" t="s">
        <v>300</v>
      </c>
      <c r="V323" s="157"/>
      <c r="W323" s="157"/>
      <c r="X323" s="157"/>
      <c r="Y323" s="314"/>
      <c r="Z323" s="314"/>
      <c r="AA323" s="314"/>
      <c r="AB323" s="209"/>
      <c r="AC323" s="27"/>
    </row>
    <row r="324" customFormat="false" ht="24" hidden="false" customHeight="true" outlineLevel="0" collapsed="false">
      <c r="B324" s="24" t="n">
        <f aca="false">IF(LEN(E324)&gt;1,1,0)</f>
        <v>1</v>
      </c>
      <c r="C324" s="17" t="str">
        <f aca="false">IF(B324=0,"*","")</f>
        <v/>
      </c>
      <c r="D324" s="74" t="s">
        <v>57</v>
      </c>
      <c r="E324" s="286" t="s">
        <v>301</v>
      </c>
      <c r="F324" s="286"/>
      <c r="G324" s="286"/>
      <c r="H324" s="286"/>
      <c r="I324" s="268"/>
      <c r="J324" s="268"/>
      <c r="K324" s="268"/>
      <c r="L324" s="268"/>
      <c r="M324" s="268"/>
      <c r="N324" s="268"/>
      <c r="O324" s="268"/>
      <c r="P324" s="268"/>
      <c r="Q324" s="268"/>
      <c r="R324" s="268"/>
      <c r="S324" s="268"/>
      <c r="T324" s="268"/>
      <c r="U324" s="268"/>
      <c r="V324" s="268"/>
      <c r="W324" s="268"/>
      <c r="X324" s="268"/>
      <c r="Y324" s="314"/>
      <c r="Z324" s="314"/>
      <c r="AA324" s="314"/>
      <c r="AB324" s="209"/>
      <c r="AC324" s="27"/>
    </row>
    <row r="325" customFormat="false" ht="24" hidden="false" customHeight="true" outlineLevel="0" collapsed="false">
      <c r="B325" s="24" t="n">
        <f aca="false">IF(LEN(E325)&gt;1,1,0)</f>
        <v>0</v>
      </c>
      <c r="C325" s="17" t="str">
        <f aca="false">IF(B325=0,"*","")</f>
        <v>*</v>
      </c>
      <c r="D325" s="80" t="s">
        <v>302</v>
      </c>
      <c r="E325" s="315" t="n">
        <v>1</v>
      </c>
      <c r="F325" s="315"/>
      <c r="G325" s="315"/>
      <c r="H325" s="315"/>
      <c r="I325" s="315"/>
      <c r="J325" s="315"/>
      <c r="K325" s="315"/>
      <c r="L325" s="315"/>
      <c r="M325" s="315"/>
      <c r="N325" s="315"/>
      <c r="O325" s="315"/>
      <c r="P325" s="315"/>
      <c r="Q325" s="315"/>
      <c r="R325" s="315"/>
      <c r="S325" s="315"/>
      <c r="T325" s="315"/>
      <c r="U325" s="315"/>
      <c r="V325" s="315"/>
      <c r="W325" s="315"/>
      <c r="X325" s="315"/>
      <c r="Y325" s="314"/>
      <c r="Z325" s="314"/>
      <c r="AA325" s="314"/>
      <c r="AB325" s="209"/>
      <c r="AC325" s="27"/>
    </row>
    <row r="326" customFormat="false" ht="41.25" hidden="false" customHeight="true" outlineLevel="0" collapsed="false">
      <c r="B326" s="24"/>
      <c r="D326" s="316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317"/>
      <c r="Z326" s="317"/>
      <c r="AA326" s="317"/>
      <c r="AB326" s="209"/>
      <c r="AC326" s="27"/>
    </row>
    <row r="327" customFormat="false" ht="42" hidden="false" customHeight="true" outlineLevel="0" collapsed="false">
      <c r="B327" s="24"/>
      <c r="D327" s="34" t="s">
        <v>303</v>
      </c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7"/>
      <c r="AC327" s="27"/>
    </row>
    <row r="328" customFormat="false" ht="33.75" hidden="false" customHeight="true" outlineLevel="0" collapsed="false">
      <c r="B328" s="24"/>
      <c r="D328" s="261"/>
      <c r="E328" s="157" t="s">
        <v>304</v>
      </c>
      <c r="F328" s="157"/>
      <c r="G328" s="157"/>
      <c r="H328" s="157"/>
      <c r="I328" s="157" t="s">
        <v>305</v>
      </c>
      <c r="J328" s="157"/>
      <c r="K328" s="157"/>
      <c r="L328" s="157"/>
      <c r="M328" s="157" t="s">
        <v>306</v>
      </c>
      <c r="N328" s="157"/>
      <c r="O328" s="157"/>
      <c r="P328" s="157"/>
      <c r="Q328" s="157" t="s">
        <v>307</v>
      </c>
      <c r="R328" s="157"/>
      <c r="S328" s="157"/>
      <c r="T328" s="157"/>
      <c r="U328" s="157" t="s">
        <v>308</v>
      </c>
      <c r="V328" s="157"/>
      <c r="W328" s="157"/>
      <c r="X328" s="157"/>
      <c r="Y328" s="318"/>
      <c r="Z328" s="319"/>
      <c r="AA328" s="320"/>
      <c r="AB328" s="209"/>
      <c r="AC328" s="27"/>
    </row>
    <row r="329" customFormat="false" ht="41.25" hidden="false" customHeight="true" outlineLevel="0" collapsed="false">
      <c r="B329" s="24" t="n">
        <f aca="false">IF(LEN(E329)&gt;1,1,0)</f>
        <v>1</v>
      </c>
      <c r="C329" s="17" t="str">
        <f aca="false">IF(B329=0,"*","")</f>
        <v/>
      </c>
      <c r="D329" s="74" t="s">
        <v>309</v>
      </c>
      <c r="E329" s="272" t="s">
        <v>74</v>
      </c>
      <c r="F329" s="272"/>
      <c r="G329" s="272"/>
      <c r="H329" s="272"/>
      <c r="I329" s="272"/>
      <c r="J329" s="272"/>
      <c r="K329" s="272"/>
      <c r="L329" s="272"/>
      <c r="M329" s="272"/>
      <c r="N329" s="272"/>
      <c r="O329" s="272"/>
      <c r="P329" s="272"/>
      <c r="Q329" s="272"/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  <c r="AB329" s="209"/>
      <c r="AC329" s="27"/>
    </row>
    <row r="330" customFormat="false" ht="51.75" hidden="false" customHeight="true" outlineLevel="0" collapsed="false">
      <c r="B330" s="24" t="n">
        <f aca="false">IF(LEN(E330)&gt;1,1,0)</f>
        <v>1</v>
      </c>
      <c r="C330" s="17" t="str">
        <f aca="false">IF(B330=0,"*","")</f>
        <v/>
      </c>
      <c r="D330" s="80" t="s">
        <v>310</v>
      </c>
      <c r="E330" s="272" t="s">
        <v>74</v>
      </c>
      <c r="F330" s="272"/>
      <c r="G330" s="272"/>
      <c r="H330" s="272"/>
      <c r="I330" s="272"/>
      <c r="J330" s="272"/>
      <c r="K330" s="272"/>
      <c r="L330" s="272"/>
      <c r="M330" s="272"/>
      <c r="N330" s="272"/>
      <c r="O330" s="272"/>
      <c r="P330" s="272"/>
      <c r="Q330" s="272"/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  <c r="AB330" s="209"/>
      <c r="AC330" s="27"/>
    </row>
    <row r="331" customFormat="false" ht="51.75" hidden="false" customHeight="true" outlineLevel="0" collapsed="false">
      <c r="B331" s="24"/>
      <c r="D331" s="316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2"/>
      <c r="Z331" s="322"/>
      <c r="AA331" s="322"/>
      <c r="AB331" s="188"/>
      <c r="AC331" s="27"/>
    </row>
    <row r="332" customFormat="false" ht="32.25" hidden="false" customHeight="true" outlineLevel="0" collapsed="false">
      <c r="B332" s="24"/>
      <c r="D332" s="34" t="s">
        <v>311</v>
      </c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7"/>
      <c r="AC332" s="27"/>
    </row>
    <row r="333" customFormat="false" ht="26.25" hidden="false" customHeight="false" outlineLevel="0" collapsed="false">
      <c r="B333" s="24"/>
      <c r="D333" s="323"/>
      <c r="E333" s="262" t="s">
        <v>312</v>
      </c>
      <c r="F333" s="262"/>
      <c r="G333" s="262"/>
      <c r="H333" s="262"/>
      <c r="I333" s="262" t="s">
        <v>313</v>
      </c>
      <c r="J333" s="262"/>
      <c r="K333" s="262"/>
      <c r="L333" s="262"/>
      <c r="M333" s="262" t="s">
        <v>314</v>
      </c>
      <c r="N333" s="262"/>
      <c r="O333" s="262"/>
      <c r="P333" s="262"/>
      <c r="Q333" s="262" t="s">
        <v>315</v>
      </c>
      <c r="R333" s="262"/>
      <c r="S333" s="262"/>
      <c r="T333" s="262"/>
      <c r="U333" s="262" t="s">
        <v>316</v>
      </c>
      <c r="V333" s="262"/>
      <c r="W333" s="262"/>
      <c r="X333" s="262"/>
      <c r="Y333" s="314"/>
      <c r="Z333" s="314"/>
      <c r="AA333" s="314"/>
      <c r="AB333" s="209"/>
      <c r="AC333" s="27"/>
    </row>
    <row r="334" customFormat="false" ht="26.25" hidden="false" customHeight="false" outlineLevel="0" collapsed="false">
      <c r="B334" s="24" t="n">
        <f aca="false">IF(LEN(E334)&gt;1,1,0)</f>
        <v>1</v>
      </c>
      <c r="C334" s="17" t="str">
        <f aca="false">IF(B334=0,"*","")</f>
        <v/>
      </c>
      <c r="D334" s="74" t="s">
        <v>317</v>
      </c>
      <c r="E334" s="286" t="s">
        <v>318</v>
      </c>
      <c r="F334" s="286"/>
      <c r="G334" s="286"/>
      <c r="H334" s="286"/>
      <c r="I334" s="268"/>
      <c r="J334" s="268"/>
      <c r="K334" s="268"/>
      <c r="L334" s="268"/>
      <c r="M334" s="268"/>
      <c r="N334" s="268"/>
      <c r="O334" s="268"/>
      <c r="P334" s="268"/>
      <c r="Q334" s="268"/>
      <c r="R334" s="268"/>
      <c r="S334" s="268"/>
      <c r="T334" s="268"/>
      <c r="U334" s="268"/>
      <c r="V334" s="268"/>
      <c r="W334" s="268"/>
      <c r="X334" s="268"/>
      <c r="Y334" s="314"/>
      <c r="Z334" s="314"/>
      <c r="AA334" s="314"/>
      <c r="AB334" s="209"/>
      <c r="AC334" s="27"/>
    </row>
    <row r="335" customFormat="false" ht="26.25" hidden="false" customHeight="false" outlineLevel="0" collapsed="false">
      <c r="B335" s="24" t="n">
        <f aca="false">IF(LEN(E335)&gt;1,1,0)</f>
        <v>1</v>
      </c>
      <c r="C335" s="17" t="str">
        <f aca="false">IF(B335=0,"*","")</f>
        <v/>
      </c>
      <c r="D335" s="74" t="s">
        <v>88</v>
      </c>
      <c r="E335" s="286" t="s">
        <v>89</v>
      </c>
      <c r="F335" s="286"/>
      <c r="G335" s="286"/>
      <c r="H335" s="286"/>
      <c r="I335" s="268"/>
      <c r="J335" s="268"/>
      <c r="K335" s="268"/>
      <c r="L335" s="268"/>
      <c r="M335" s="268"/>
      <c r="N335" s="268"/>
      <c r="O335" s="268"/>
      <c r="P335" s="268"/>
      <c r="Q335" s="268"/>
      <c r="R335" s="268"/>
      <c r="S335" s="268"/>
      <c r="T335" s="268"/>
      <c r="U335" s="268"/>
      <c r="V335" s="268"/>
      <c r="W335" s="268"/>
      <c r="X335" s="268"/>
      <c r="Y335" s="314"/>
      <c r="Z335" s="314"/>
      <c r="AA335" s="314"/>
      <c r="AB335" s="209"/>
      <c r="AC335" s="27"/>
    </row>
    <row r="336" customFormat="false" ht="26.25" hidden="false" customHeight="false" outlineLevel="0" collapsed="false">
      <c r="B336" s="24" t="n">
        <f aca="false">IF(LEN(E336)&gt;1,1,0)</f>
        <v>1</v>
      </c>
      <c r="C336" s="17" t="str">
        <f aca="false">IF(B336=0,"*","")</f>
        <v/>
      </c>
      <c r="D336" s="80" t="s">
        <v>166</v>
      </c>
      <c r="E336" s="286" t="s">
        <v>89</v>
      </c>
      <c r="F336" s="286"/>
      <c r="G336" s="286"/>
      <c r="H336" s="286"/>
      <c r="I336" s="289"/>
      <c r="J336" s="289"/>
      <c r="K336" s="289"/>
      <c r="L336" s="289"/>
      <c r="M336" s="289"/>
      <c r="N336" s="289"/>
      <c r="O336" s="289"/>
      <c r="P336" s="289"/>
      <c r="Q336" s="289"/>
      <c r="R336" s="289"/>
      <c r="S336" s="289"/>
      <c r="T336" s="289"/>
      <c r="U336" s="289"/>
      <c r="V336" s="289"/>
      <c r="W336" s="289"/>
      <c r="X336" s="289"/>
      <c r="Y336" s="314"/>
      <c r="Z336" s="314"/>
      <c r="AA336" s="314"/>
      <c r="AB336" s="209"/>
      <c r="AC336" s="27"/>
    </row>
    <row r="337" customFormat="false" ht="26.25" hidden="false" customHeight="false" outlineLevel="0" collapsed="false">
      <c r="B337" s="24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317"/>
      <c r="Z337" s="317"/>
      <c r="AA337" s="317"/>
      <c r="AB337" s="209"/>
      <c r="AC337" s="27"/>
    </row>
    <row r="338" customFormat="false" ht="31.5" hidden="false" customHeight="true" outlineLevel="0" collapsed="false">
      <c r="B338" s="24" t="n">
        <f aca="false">SUM(B340:B435)/COUNT(B340:B435)</f>
        <v>0</v>
      </c>
      <c r="D338" s="324" t="s">
        <v>319</v>
      </c>
      <c r="E338" s="324"/>
      <c r="F338" s="324"/>
      <c r="G338" s="324"/>
      <c r="H338" s="324"/>
      <c r="I338" s="324"/>
      <c r="J338" s="324"/>
      <c r="K338" s="324"/>
      <c r="L338" s="324"/>
      <c r="M338" s="324"/>
      <c r="N338" s="324"/>
      <c r="O338" s="324"/>
      <c r="P338" s="324"/>
      <c r="Q338" s="324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83"/>
      <c r="AC338" s="27"/>
    </row>
    <row r="339" customFormat="false" ht="28.5" hidden="false" customHeight="true" outlineLevel="0" collapsed="false">
      <c r="B339" s="24"/>
      <c r="D339" s="325" t="s">
        <v>320</v>
      </c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  <c r="AB339" s="326"/>
      <c r="AC339" s="27"/>
    </row>
    <row r="340" customFormat="false" ht="26.25" hidden="false" customHeight="false" outlineLevel="0" collapsed="false">
      <c r="B340" s="24" t="n">
        <f aca="false">IF(OR($E$340="Dictaminado",$E$340="Auditado"),1,IF(LEN(E340)&gt;1,1,0))</f>
        <v>0</v>
      </c>
      <c r="C340" s="17" t="str">
        <f aca="false">IF(B340=0,"*","")</f>
        <v>*</v>
      </c>
      <c r="D340" s="327" t="s">
        <v>321</v>
      </c>
      <c r="E340" s="328"/>
      <c r="F340" s="328"/>
      <c r="G340" s="328"/>
      <c r="H340" s="328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317"/>
      <c r="Z340" s="317"/>
      <c r="AA340" s="329"/>
      <c r="AB340" s="209"/>
      <c r="AC340" s="27"/>
    </row>
    <row r="341" customFormat="false" ht="26.25" hidden="false" customHeight="false" outlineLevel="0" collapsed="false">
      <c r="B341" s="24" t="n">
        <f aca="false">IF(OR($E$340="Dictaminado",$E$340="Auditado"),1,IF(LEN(E341)&gt;1,1,0))</f>
        <v>0</v>
      </c>
      <c r="C341" s="17" t="str">
        <f aca="false">IF(B341=0,"*","")</f>
        <v>*</v>
      </c>
      <c r="D341" s="330" t="s">
        <v>322</v>
      </c>
      <c r="E341" s="328"/>
      <c r="F341" s="328"/>
      <c r="G341" s="328"/>
      <c r="H341" s="328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317"/>
      <c r="Z341" s="317"/>
      <c r="AA341" s="329"/>
      <c r="AB341" s="209"/>
      <c r="AC341" s="27"/>
    </row>
    <row r="342" customFormat="false" ht="26.25" hidden="false" customHeight="false" outlineLevel="0" collapsed="false">
      <c r="B342" s="24"/>
      <c r="D342" s="331" t="str">
        <f aca="false">IF(OR($E$340="Dictaminado",$E$340="Auditado"),"Para este tipo de balance es necesario enviar el documento en PDF por correo y llene solo la sección parcial en este documento","")</f>
        <v/>
      </c>
      <c r="E342" s="331"/>
      <c r="F342" s="331"/>
      <c r="G342" s="331"/>
      <c r="H342" s="331"/>
      <c r="I342" s="331"/>
      <c r="J342" s="331"/>
      <c r="K342" s="331"/>
      <c r="L342" s="331"/>
      <c r="M342" s="331"/>
      <c r="N342" s="331"/>
      <c r="O342" s="331"/>
      <c r="P342" s="331"/>
      <c r="Q342" s="331"/>
      <c r="R342" s="331"/>
      <c r="S342" s="331"/>
      <c r="T342" s="331"/>
      <c r="U342" s="331"/>
      <c r="V342" s="331"/>
      <c r="W342" s="331"/>
      <c r="X342" s="331"/>
      <c r="Y342" s="331"/>
      <c r="Z342" s="331"/>
      <c r="AA342" s="331"/>
      <c r="AB342" s="209"/>
      <c r="AC342" s="27"/>
    </row>
    <row r="343" customFormat="false" ht="34.5" hidden="false" customHeight="true" outlineLevel="0" collapsed="false">
      <c r="B343" s="24"/>
      <c r="D343" s="332"/>
      <c r="E343" s="333" t="s">
        <v>323</v>
      </c>
      <c r="F343" s="333"/>
      <c r="G343" s="333"/>
      <c r="H343" s="333"/>
      <c r="I343" s="333"/>
      <c r="J343" s="333"/>
      <c r="K343" s="333"/>
      <c r="L343" s="333"/>
      <c r="M343" s="333"/>
      <c r="N343" s="333"/>
      <c r="O343" s="333"/>
      <c r="P343" s="333"/>
      <c r="Q343" s="334" t="s">
        <v>324</v>
      </c>
      <c r="R343" s="334"/>
      <c r="S343" s="334"/>
      <c r="T343" s="334"/>
      <c r="U343" s="334"/>
      <c r="V343" s="334"/>
      <c r="W343" s="334"/>
      <c r="X343" s="334"/>
      <c r="Y343" s="334"/>
      <c r="Z343" s="334"/>
      <c r="AA343" s="334"/>
      <c r="AB343" s="83"/>
      <c r="AC343" s="27"/>
    </row>
    <row r="344" customFormat="false" ht="25.5" hidden="false" customHeight="true" outlineLevel="0" collapsed="false">
      <c r="B344" s="24"/>
      <c r="D344" s="335" t="s">
        <v>325</v>
      </c>
      <c r="E344" s="336" t="n">
        <f aca="true">YEAR(TODAY()-1095)</f>
        <v>2023</v>
      </c>
      <c r="F344" s="336"/>
      <c r="G344" s="336"/>
      <c r="H344" s="336" t="n">
        <f aca="true">YEAR(TODAY()-730)</f>
        <v>2024</v>
      </c>
      <c r="I344" s="336"/>
      <c r="J344" s="336"/>
      <c r="K344" s="336" t="n">
        <f aca="true">YEAR(TODAY()-365)</f>
        <v>2025</v>
      </c>
      <c r="L344" s="336"/>
      <c r="M344" s="336"/>
      <c r="N344" s="337" t="s">
        <v>326</v>
      </c>
      <c r="O344" s="337"/>
      <c r="P344" s="337"/>
      <c r="Q344" s="337"/>
      <c r="R344" s="337"/>
      <c r="S344" s="336" t="n">
        <f aca="true">YEAR(TODAY()-1095)</f>
        <v>2023</v>
      </c>
      <c r="T344" s="336"/>
      <c r="U344" s="336"/>
      <c r="V344" s="336" t="n">
        <f aca="true">YEAR(TODAY()-730)</f>
        <v>2024</v>
      </c>
      <c r="W344" s="336"/>
      <c r="X344" s="336"/>
      <c r="Y344" s="338" t="n">
        <f aca="true">YEAR(TODAY()-365)</f>
        <v>2025</v>
      </c>
      <c r="Z344" s="338"/>
      <c r="AA344" s="338"/>
      <c r="AB344" s="149"/>
      <c r="AC344" s="27"/>
    </row>
    <row r="345" customFormat="false" ht="25.5" hidden="false" customHeight="true" outlineLevel="0" collapsed="false">
      <c r="B345" s="24"/>
      <c r="D345" s="339" t="s">
        <v>327</v>
      </c>
      <c r="E345" s="340"/>
      <c r="F345" s="340"/>
      <c r="G345" s="340"/>
      <c r="H345" s="340"/>
      <c r="I345" s="340"/>
      <c r="J345" s="340"/>
      <c r="K345" s="340"/>
      <c r="L345" s="340"/>
      <c r="M345" s="340"/>
      <c r="N345" s="341" t="s">
        <v>328</v>
      </c>
      <c r="O345" s="341"/>
      <c r="P345" s="341"/>
      <c r="Q345" s="341"/>
      <c r="R345" s="341"/>
      <c r="S345" s="340"/>
      <c r="T345" s="340"/>
      <c r="U345" s="340"/>
      <c r="V345" s="340"/>
      <c r="W345" s="340"/>
      <c r="X345" s="340"/>
      <c r="Y345" s="340"/>
      <c r="Z345" s="340"/>
      <c r="AA345" s="340"/>
      <c r="AB345" s="342"/>
      <c r="AC345" s="27"/>
    </row>
    <row r="346" customFormat="false" ht="25.5" hidden="false" customHeight="true" outlineLevel="0" collapsed="false">
      <c r="B346" s="24"/>
      <c r="D346" s="339" t="s">
        <v>329</v>
      </c>
      <c r="E346" s="340"/>
      <c r="F346" s="340"/>
      <c r="G346" s="340"/>
      <c r="H346" s="340"/>
      <c r="I346" s="340"/>
      <c r="J346" s="340"/>
      <c r="K346" s="340"/>
      <c r="L346" s="340"/>
      <c r="M346" s="340"/>
      <c r="N346" s="343" t="s">
        <v>330</v>
      </c>
      <c r="O346" s="343"/>
      <c r="P346" s="343"/>
      <c r="Q346" s="343"/>
      <c r="R346" s="343"/>
      <c r="S346" s="340"/>
      <c r="T346" s="340"/>
      <c r="U346" s="340"/>
      <c r="V346" s="340"/>
      <c r="W346" s="340"/>
      <c r="X346" s="340"/>
      <c r="Y346" s="340"/>
      <c r="Z346" s="340"/>
      <c r="AA346" s="340"/>
      <c r="AB346" s="342"/>
      <c r="AC346" s="27"/>
    </row>
    <row r="347" customFormat="false" ht="25.5" hidden="false" customHeight="true" outlineLevel="0" collapsed="false">
      <c r="B347" s="24"/>
      <c r="D347" s="339" t="s">
        <v>331</v>
      </c>
      <c r="E347" s="340"/>
      <c r="F347" s="340"/>
      <c r="G347" s="340"/>
      <c r="H347" s="340"/>
      <c r="I347" s="340"/>
      <c r="J347" s="340"/>
      <c r="K347" s="340"/>
      <c r="L347" s="340"/>
      <c r="M347" s="340"/>
      <c r="N347" s="341" t="s">
        <v>332</v>
      </c>
      <c r="O347" s="341"/>
      <c r="P347" s="341"/>
      <c r="Q347" s="341"/>
      <c r="R347" s="341"/>
      <c r="S347" s="340"/>
      <c r="T347" s="340"/>
      <c r="U347" s="340"/>
      <c r="V347" s="340"/>
      <c r="W347" s="340"/>
      <c r="X347" s="340"/>
      <c r="Y347" s="340"/>
      <c r="Z347" s="340"/>
      <c r="AA347" s="340"/>
      <c r="AB347" s="342"/>
      <c r="AC347" s="27"/>
    </row>
    <row r="348" customFormat="false" ht="25.5" hidden="false" customHeight="true" outlineLevel="0" collapsed="false">
      <c r="B348" s="24"/>
      <c r="D348" s="339" t="s">
        <v>333</v>
      </c>
      <c r="E348" s="340"/>
      <c r="F348" s="340"/>
      <c r="G348" s="340"/>
      <c r="H348" s="340"/>
      <c r="I348" s="340"/>
      <c r="J348" s="340"/>
      <c r="K348" s="340"/>
      <c r="L348" s="340"/>
      <c r="M348" s="340"/>
      <c r="N348" s="341" t="s">
        <v>334</v>
      </c>
      <c r="O348" s="341"/>
      <c r="P348" s="341"/>
      <c r="Q348" s="341"/>
      <c r="R348" s="341"/>
      <c r="S348" s="340"/>
      <c r="T348" s="340"/>
      <c r="U348" s="340"/>
      <c r="V348" s="340"/>
      <c r="W348" s="340"/>
      <c r="X348" s="340"/>
      <c r="Y348" s="340"/>
      <c r="Z348" s="340"/>
      <c r="AA348" s="340"/>
      <c r="AB348" s="342"/>
      <c r="AC348" s="27"/>
    </row>
    <row r="349" customFormat="false" ht="25.5" hidden="false" customHeight="true" outlineLevel="0" collapsed="false">
      <c r="B349" s="24"/>
      <c r="D349" s="339" t="s">
        <v>335</v>
      </c>
      <c r="E349" s="340"/>
      <c r="F349" s="340"/>
      <c r="G349" s="340"/>
      <c r="H349" s="340"/>
      <c r="I349" s="340"/>
      <c r="J349" s="340"/>
      <c r="K349" s="340"/>
      <c r="L349" s="340"/>
      <c r="M349" s="340"/>
      <c r="N349" s="341" t="s">
        <v>336</v>
      </c>
      <c r="O349" s="341"/>
      <c r="P349" s="341"/>
      <c r="Q349" s="341"/>
      <c r="R349" s="341"/>
      <c r="S349" s="340"/>
      <c r="T349" s="340"/>
      <c r="U349" s="340"/>
      <c r="V349" s="340"/>
      <c r="W349" s="340"/>
      <c r="X349" s="340"/>
      <c r="Y349" s="340"/>
      <c r="Z349" s="340"/>
      <c r="AA349" s="340"/>
      <c r="AB349" s="342"/>
      <c r="AC349" s="27"/>
    </row>
    <row r="350" customFormat="false" ht="25.5" hidden="false" customHeight="true" outlineLevel="0" collapsed="false">
      <c r="B350" s="24"/>
      <c r="D350" s="339" t="s">
        <v>337</v>
      </c>
      <c r="E350" s="340"/>
      <c r="F350" s="340"/>
      <c r="G350" s="340"/>
      <c r="H350" s="340"/>
      <c r="I350" s="340"/>
      <c r="J350" s="340"/>
      <c r="K350" s="340"/>
      <c r="L350" s="340"/>
      <c r="M350" s="340"/>
      <c r="N350" s="341" t="s">
        <v>338</v>
      </c>
      <c r="O350" s="341"/>
      <c r="P350" s="341"/>
      <c r="Q350" s="341"/>
      <c r="R350" s="341"/>
      <c r="S350" s="340"/>
      <c r="T350" s="340"/>
      <c r="U350" s="340"/>
      <c r="V350" s="340"/>
      <c r="W350" s="340"/>
      <c r="X350" s="340"/>
      <c r="Y350" s="340"/>
      <c r="Z350" s="340"/>
      <c r="AA350" s="340"/>
      <c r="AB350" s="342"/>
      <c r="AC350" s="27"/>
    </row>
    <row r="351" customFormat="false" ht="25.5" hidden="false" customHeight="true" outlineLevel="0" collapsed="false">
      <c r="B351" s="24"/>
      <c r="D351" s="339" t="s">
        <v>339</v>
      </c>
      <c r="E351" s="340"/>
      <c r="F351" s="340"/>
      <c r="G351" s="340"/>
      <c r="H351" s="340"/>
      <c r="I351" s="340"/>
      <c r="J351" s="340"/>
      <c r="K351" s="340"/>
      <c r="L351" s="340"/>
      <c r="M351" s="340"/>
      <c r="N351" s="341" t="s">
        <v>340</v>
      </c>
      <c r="O351" s="341"/>
      <c r="P351" s="341"/>
      <c r="Q351" s="341"/>
      <c r="R351" s="341"/>
      <c r="S351" s="340"/>
      <c r="T351" s="340"/>
      <c r="U351" s="340"/>
      <c r="V351" s="340"/>
      <c r="W351" s="340"/>
      <c r="X351" s="340"/>
      <c r="Y351" s="340"/>
      <c r="Z351" s="340"/>
      <c r="AA351" s="340"/>
      <c r="AB351" s="342"/>
      <c r="AC351" s="27"/>
    </row>
    <row r="352" customFormat="false" ht="25.5" hidden="false" customHeight="true" outlineLevel="0" collapsed="false">
      <c r="B352" s="24"/>
      <c r="D352" s="339" t="s">
        <v>338</v>
      </c>
      <c r="E352" s="340"/>
      <c r="F352" s="340"/>
      <c r="G352" s="340"/>
      <c r="H352" s="340"/>
      <c r="I352" s="340"/>
      <c r="J352" s="340"/>
      <c r="K352" s="340"/>
      <c r="L352" s="340"/>
      <c r="M352" s="340"/>
      <c r="N352" s="341" t="s">
        <v>341</v>
      </c>
      <c r="O352" s="341"/>
      <c r="P352" s="341"/>
      <c r="Q352" s="341"/>
      <c r="R352" s="341"/>
      <c r="S352" s="340"/>
      <c r="T352" s="340"/>
      <c r="U352" s="340"/>
      <c r="V352" s="340"/>
      <c r="W352" s="340"/>
      <c r="X352" s="340"/>
      <c r="Y352" s="340"/>
      <c r="Z352" s="340"/>
      <c r="AA352" s="340"/>
      <c r="AB352" s="342"/>
      <c r="AC352" s="27"/>
    </row>
    <row r="353" customFormat="false" ht="25.5" hidden="false" customHeight="true" outlineLevel="0" collapsed="false">
      <c r="B353" s="24"/>
      <c r="D353" s="339" t="s">
        <v>342</v>
      </c>
      <c r="E353" s="340"/>
      <c r="F353" s="340"/>
      <c r="G353" s="340"/>
      <c r="H353" s="340"/>
      <c r="I353" s="340"/>
      <c r="J353" s="340"/>
      <c r="K353" s="340"/>
      <c r="L353" s="340"/>
      <c r="M353" s="340"/>
      <c r="N353" s="341" t="s">
        <v>343</v>
      </c>
      <c r="O353" s="341"/>
      <c r="P353" s="341"/>
      <c r="Q353" s="341"/>
      <c r="R353" s="341"/>
      <c r="S353" s="340"/>
      <c r="T353" s="340"/>
      <c r="U353" s="340"/>
      <c r="V353" s="340"/>
      <c r="W353" s="340"/>
      <c r="X353" s="340"/>
      <c r="Y353" s="340"/>
      <c r="Z353" s="340"/>
      <c r="AA353" s="340"/>
      <c r="AB353" s="342"/>
      <c r="AC353" s="27"/>
    </row>
    <row r="354" customFormat="false" ht="25.5" hidden="false" customHeight="true" outlineLevel="0" collapsed="false">
      <c r="B354" s="24"/>
      <c r="D354" s="344"/>
      <c r="E354" s="345"/>
      <c r="F354" s="345"/>
      <c r="G354" s="345"/>
      <c r="H354" s="345"/>
      <c r="I354" s="345"/>
      <c r="J354" s="345"/>
      <c r="K354" s="345"/>
      <c r="L354" s="345"/>
      <c r="M354" s="345"/>
      <c r="N354" s="346"/>
      <c r="O354" s="346"/>
      <c r="P354" s="346"/>
      <c r="Q354" s="346"/>
      <c r="R354" s="346"/>
      <c r="S354" s="347"/>
      <c r="T354" s="347"/>
      <c r="U354" s="347"/>
      <c r="V354" s="347"/>
      <c r="W354" s="347"/>
      <c r="X354" s="347"/>
      <c r="Y354" s="348"/>
      <c r="Z354" s="348"/>
      <c r="AA354" s="348"/>
      <c r="AB354" s="349"/>
      <c r="AC354" s="27"/>
    </row>
    <row r="355" customFormat="false" ht="25.5" hidden="false" customHeight="true" outlineLevel="0" collapsed="false">
      <c r="B355" s="24"/>
      <c r="D355" s="350" t="s">
        <v>344</v>
      </c>
      <c r="E355" s="351" t="n">
        <f aca="false">SUM(E345:G353)</f>
        <v>0</v>
      </c>
      <c r="F355" s="351"/>
      <c r="G355" s="351"/>
      <c r="H355" s="351" t="n">
        <f aca="false">SUM(H345:J353)</f>
        <v>0</v>
      </c>
      <c r="I355" s="351"/>
      <c r="J355" s="351"/>
      <c r="K355" s="351" t="n">
        <f aca="false">SUM(K345:M353)</f>
        <v>0</v>
      </c>
      <c r="L355" s="351"/>
      <c r="M355" s="351"/>
      <c r="N355" s="352" t="s">
        <v>345</v>
      </c>
      <c r="O355" s="352"/>
      <c r="P355" s="352"/>
      <c r="Q355" s="352"/>
      <c r="R355" s="352"/>
      <c r="S355" s="351" t="n">
        <f aca="false">SUM(S345:U353)</f>
        <v>0</v>
      </c>
      <c r="T355" s="351"/>
      <c r="U355" s="351"/>
      <c r="V355" s="351" t="n">
        <f aca="false">SUM(V345:X353)</f>
        <v>0</v>
      </c>
      <c r="W355" s="351"/>
      <c r="X355" s="351"/>
      <c r="Y355" s="353" t="n">
        <f aca="false">SUM(Y345:AA353)</f>
        <v>0</v>
      </c>
      <c r="Z355" s="353"/>
      <c r="AA355" s="353"/>
      <c r="AB355" s="354"/>
      <c r="AC355" s="27"/>
    </row>
    <row r="356" customFormat="false" ht="25.5" hidden="false" customHeight="true" outlineLevel="0" collapsed="false">
      <c r="B356" s="24"/>
      <c r="D356" s="355" t="s">
        <v>346</v>
      </c>
      <c r="E356" s="340"/>
      <c r="F356" s="340"/>
      <c r="G356" s="340"/>
      <c r="H356" s="340"/>
      <c r="I356" s="340"/>
      <c r="J356" s="340"/>
      <c r="K356" s="340"/>
      <c r="L356" s="340"/>
      <c r="M356" s="340"/>
      <c r="N356" s="356" t="s">
        <v>347</v>
      </c>
      <c r="O356" s="356"/>
      <c r="P356" s="356"/>
      <c r="Q356" s="356"/>
      <c r="R356" s="356"/>
      <c r="S356" s="340"/>
      <c r="T356" s="340"/>
      <c r="U356" s="340"/>
      <c r="V356" s="340"/>
      <c r="W356" s="340"/>
      <c r="X356" s="340"/>
      <c r="Y356" s="340"/>
      <c r="Z356" s="340"/>
      <c r="AA356" s="340"/>
      <c r="AB356" s="357"/>
      <c r="AC356" s="27"/>
    </row>
    <row r="357" customFormat="false" ht="25.5" hidden="false" customHeight="true" outlineLevel="0" collapsed="false">
      <c r="B357" s="24"/>
      <c r="D357" s="355" t="s">
        <v>348</v>
      </c>
      <c r="E357" s="340"/>
      <c r="F357" s="340"/>
      <c r="G357" s="340"/>
      <c r="H357" s="340"/>
      <c r="I357" s="340"/>
      <c r="J357" s="340"/>
      <c r="K357" s="340"/>
      <c r="L357" s="340"/>
      <c r="M357" s="340"/>
      <c r="N357" s="356" t="s">
        <v>349</v>
      </c>
      <c r="O357" s="356"/>
      <c r="P357" s="356"/>
      <c r="Q357" s="356"/>
      <c r="R357" s="356"/>
      <c r="S357" s="340"/>
      <c r="T357" s="340"/>
      <c r="U357" s="340"/>
      <c r="V357" s="340"/>
      <c r="W357" s="340"/>
      <c r="X357" s="340"/>
      <c r="Y357" s="340"/>
      <c r="Z357" s="340"/>
      <c r="AA357" s="340"/>
      <c r="AB357" s="357"/>
      <c r="AC357" s="27"/>
    </row>
    <row r="358" customFormat="false" ht="25.5" hidden="false" customHeight="true" outlineLevel="0" collapsed="false">
      <c r="B358" s="24"/>
      <c r="D358" s="355" t="s">
        <v>350</v>
      </c>
      <c r="E358" s="340"/>
      <c r="F358" s="340"/>
      <c r="G358" s="340"/>
      <c r="H358" s="340"/>
      <c r="I358" s="340"/>
      <c r="J358" s="340"/>
      <c r="K358" s="340"/>
      <c r="L358" s="340"/>
      <c r="M358" s="340"/>
      <c r="N358" s="352" t="s">
        <v>351</v>
      </c>
      <c r="O358" s="352"/>
      <c r="P358" s="352"/>
      <c r="Q358" s="352"/>
      <c r="R358" s="352"/>
      <c r="S358" s="351" t="n">
        <f aca="false">SUM(S356:U357)</f>
        <v>0</v>
      </c>
      <c r="T358" s="351"/>
      <c r="U358" s="351"/>
      <c r="V358" s="351" t="n">
        <f aca="false">SUM(V356:X357)</f>
        <v>0</v>
      </c>
      <c r="W358" s="351"/>
      <c r="X358" s="351"/>
      <c r="Y358" s="353" t="n">
        <f aca="false">SUM(Y356:AA357)</f>
        <v>0</v>
      </c>
      <c r="Z358" s="353"/>
      <c r="AA358" s="353"/>
      <c r="AB358" s="354"/>
      <c r="AC358" s="27"/>
    </row>
    <row r="359" customFormat="false" ht="25.5" hidden="false" customHeight="true" outlineLevel="0" collapsed="false">
      <c r="B359" s="24"/>
      <c r="D359" s="350" t="s">
        <v>352</v>
      </c>
      <c r="E359" s="351" t="n">
        <f aca="false">SUM(E356:G358)</f>
        <v>0</v>
      </c>
      <c r="F359" s="351"/>
      <c r="G359" s="351"/>
      <c r="H359" s="351" t="n">
        <f aca="false">SUM(H356:J358)</f>
        <v>0</v>
      </c>
      <c r="I359" s="351"/>
      <c r="J359" s="351"/>
      <c r="K359" s="351" t="n">
        <f aca="false">SUM(K356:M358)</f>
        <v>0</v>
      </c>
      <c r="L359" s="351"/>
      <c r="M359" s="351"/>
      <c r="N359" s="346"/>
      <c r="O359" s="346"/>
      <c r="P359" s="346"/>
      <c r="Q359" s="346"/>
      <c r="R359" s="346"/>
      <c r="S359" s="347"/>
      <c r="T359" s="347"/>
      <c r="U359" s="347"/>
      <c r="V359" s="347"/>
      <c r="W359" s="347"/>
      <c r="X359" s="347"/>
      <c r="Y359" s="348"/>
      <c r="Z359" s="348"/>
      <c r="AA359" s="348"/>
      <c r="AB359" s="349"/>
      <c r="AC359" s="27"/>
    </row>
    <row r="360" customFormat="false" ht="25.5" hidden="false" customHeight="true" outlineLevel="0" collapsed="false">
      <c r="B360" s="24"/>
      <c r="D360" s="355" t="s">
        <v>353</v>
      </c>
      <c r="E360" s="340"/>
      <c r="F360" s="340"/>
      <c r="G360" s="340"/>
      <c r="H360" s="340"/>
      <c r="I360" s="340"/>
      <c r="J360" s="340"/>
      <c r="K360" s="340"/>
      <c r="L360" s="340"/>
      <c r="M360" s="340"/>
      <c r="N360" s="352" t="s">
        <v>354</v>
      </c>
      <c r="O360" s="352"/>
      <c r="P360" s="352"/>
      <c r="Q360" s="352"/>
      <c r="R360" s="352"/>
      <c r="S360" s="351" t="n">
        <f aca="false">SUM(S355+S358)</f>
        <v>0</v>
      </c>
      <c r="T360" s="351"/>
      <c r="U360" s="351"/>
      <c r="V360" s="351" t="n">
        <f aca="false">SUM(V355+V358)</f>
        <v>0</v>
      </c>
      <c r="W360" s="351"/>
      <c r="X360" s="351"/>
      <c r="Y360" s="353" t="n">
        <f aca="false">SUM(Y355+Y358)</f>
        <v>0</v>
      </c>
      <c r="Z360" s="353"/>
      <c r="AA360" s="353"/>
      <c r="AB360" s="354"/>
      <c r="AC360" s="27"/>
    </row>
    <row r="361" customFormat="false" ht="25.5" hidden="false" customHeight="true" outlineLevel="0" collapsed="false">
      <c r="B361" s="24"/>
      <c r="D361" s="355" t="s">
        <v>355</v>
      </c>
      <c r="E361" s="340"/>
      <c r="F361" s="340"/>
      <c r="G361" s="340"/>
      <c r="H361" s="340"/>
      <c r="I361" s="340"/>
      <c r="J361" s="340"/>
      <c r="K361" s="340"/>
      <c r="L361" s="340"/>
      <c r="M361" s="340"/>
      <c r="N361" s="356" t="s">
        <v>356</v>
      </c>
      <c r="O361" s="356"/>
      <c r="P361" s="356"/>
      <c r="Q361" s="356"/>
      <c r="R361" s="356"/>
      <c r="S361" s="340"/>
      <c r="T361" s="340"/>
      <c r="U361" s="340"/>
      <c r="V361" s="340"/>
      <c r="W361" s="340"/>
      <c r="X361" s="340"/>
      <c r="Y361" s="340"/>
      <c r="Z361" s="340"/>
      <c r="AA361" s="340"/>
      <c r="AB361" s="357"/>
      <c r="AC361" s="27"/>
    </row>
    <row r="362" customFormat="false" ht="25.5" hidden="false" customHeight="true" outlineLevel="0" collapsed="false">
      <c r="B362" s="24"/>
      <c r="D362" s="355" t="s">
        <v>357</v>
      </c>
      <c r="E362" s="340"/>
      <c r="F362" s="340"/>
      <c r="G362" s="340"/>
      <c r="H362" s="340"/>
      <c r="I362" s="340"/>
      <c r="J362" s="340"/>
      <c r="K362" s="340"/>
      <c r="L362" s="340"/>
      <c r="M362" s="340"/>
      <c r="N362" s="356" t="s">
        <v>358</v>
      </c>
      <c r="O362" s="356"/>
      <c r="P362" s="356"/>
      <c r="Q362" s="356"/>
      <c r="R362" s="356"/>
      <c r="S362" s="340"/>
      <c r="T362" s="340"/>
      <c r="U362" s="340"/>
      <c r="V362" s="340"/>
      <c r="W362" s="340"/>
      <c r="X362" s="340"/>
      <c r="Y362" s="340"/>
      <c r="Z362" s="340"/>
      <c r="AA362" s="340"/>
      <c r="AB362" s="357"/>
      <c r="AC362" s="27"/>
    </row>
    <row r="363" customFormat="false" ht="25.5" hidden="false" customHeight="true" outlineLevel="0" collapsed="false">
      <c r="B363" s="24"/>
      <c r="D363" s="335" t="s">
        <v>359</v>
      </c>
      <c r="E363" s="351" t="n">
        <f aca="false">SUM(E360:G362)</f>
        <v>0</v>
      </c>
      <c r="F363" s="351"/>
      <c r="G363" s="351"/>
      <c r="H363" s="351" t="n">
        <f aca="false">SUM(H360:J362)</f>
        <v>0</v>
      </c>
      <c r="I363" s="351"/>
      <c r="J363" s="351"/>
      <c r="K363" s="351" t="n">
        <f aca="false">SUM(K360:M362)</f>
        <v>0</v>
      </c>
      <c r="L363" s="351"/>
      <c r="M363" s="351"/>
      <c r="N363" s="341" t="s">
        <v>360</v>
      </c>
      <c r="O363" s="341"/>
      <c r="P363" s="341"/>
      <c r="Q363" s="341"/>
      <c r="R363" s="341"/>
      <c r="S363" s="340"/>
      <c r="T363" s="340"/>
      <c r="U363" s="340"/>
      <c r="V363" s="340"/>
      <c r="W363" s="340"/>
      <c r="X363" s="340"/>
      <c r="Y363" s="340"/>
      <c r="Z363" s="340"/>
      <c r="AA363" s="340"/>
      <c r="AB363" s="357"/>
      <c r="AC363" s="27"/>
    </row>
    <row r="364" customFormat="false" ht="25.5" hidden="false" customHeight="true" outlineLevel="0" collapsed="false">
      <c r="B364" s="24"/>
      <c r="D364" s="339" t="s">
        <v>357</v>
      </c>
      <c r="E364" s="340"/>
      <c r="F364" s="340"/>
      <c r="G364" s="340"/>
      <c r="H364" s="340"/>
      <c r="I364" s="340"/>
      <c r="J364" s="340"/>
      <c r="K364" s="340"/>
      <c r="L364" s="340"/>
      <c r="M364" s="340"/>
      <c r="N364" s="341" t="s">
        <v>361</v>
      </c>
      <c r="O364" s="341"/>
      <c r="P364" s="341"/>
      <c r="Q364" s="341"/>
      <c r="R364" s="341"/>
      <c r="S364" s="340"/>
      <c r="T364" s="340"/>
      <c r="U364" s="340"/>
      <c r="V364" s="340"/>
      <c r="W364" s="340"/>
      <c r="X364" s="340"/>
      <c r="Y364" s="340"/>
      <c r="Z364" s="340"/>
      <c r="AA364" s="340"/>
      <c r="AB364" s="357"/>
      <c r="AC364" s="27"/>
    </row>
    <row r="365" customFormat="false" ht="25.5" hidden="false" customHeight="true" outlineLevel="0" collapsed="false">
      <c r="B365" s="24"/>
      <c r="D365" s="339" t="s">
        <v>357</v>
      </c>
      <c r="E365" s="340"/>
      <c r="F365" s="340"/>
      <c r="G365" s="340"/>
      <c r="H365" s="340"/>
      <c r="I365" s="340"/>
      <c r="J365" s="340"/>
      <c r="K365" s="340"/>
      <c r="L365" s="340"/>
      <c r="M365" s="340"/>
      <c r="N365" s="341" t="s">
        <v>362</v>
      </c>
      <c r="O365" s="341"/>
      <c r="P365" s="341"/>
      <c r="Q365" s="341"/>
      <c r="R365" s="341"/>
      <c r="S365" s="340"/>
      <c r="T365" s="340"/>
      <c r="U365" s="340"/>
      <c r="V365" s="340"/>
      <c r="W365" s="340"/>
      <c r="X365" s="340"/>
      <c r="Y365" s="340"/>
      <c r="Z365" s="340"/>
      <c r="AA365" s="340"/>
      <c r="AB365" s="357"/>
      <c r="AC365" s="27"/>
    </row>
    <row r="366" customFormat="false" ht="25.5" hidden="false" customHeight="true" outlineLevel="0" collapsed="false">
      <c r="B366" s="24"/>
      <c r="D366" s="339" t="s">
        <v>357</v>
      </c>
      <c r="E366" s="340"/>
      <c r="F366" s="340"/>
      <c r="G366" s="340"/>
      <c r="H366" s="340"/>
      <c r="I366" s="340"/>
      <c r="J366" s="340"/>
      <c r="K366" s="340"/>
      <c r="L366" s="340"/>
      <c r="M366" s="340"/>
      <c r="N366" s="347"/>
      <c r="O366" s="347"/>
      <c r="P366" s="347"/>
      <c r="Q366" s="347"/>
      <c r="R366" s="347"/>
      <c r="S366" s="347"/>
      <c r="T366" s="347"/>
      <c r="U366" s="347"/>
      <c r="V366" s="347"/>
      <c r="W366" s="347"/>
      <c r="X366" s="347"/>
      <c r="Y366" s="348"/>
      <c r="Z366" s="348"/>
      <c r="AA366" s="348"/>
      <c r="AB366" s="349"/>
      <c r="AC366" s="27"/>
    </row>
    <row r="367" customFormat="false" ht="25.5" hidden="false" customHeight="true" outlineLevel="0" collapsed="false">
      <c r="B367" s="24"/>
      <c r="D367" s="339" t="s">
        <v>357</v>
      </c>
      <c r="E367" s="340"/>
      <c r="F367" s="340"/>
      <c r="G367" s="340"/>
      <c r="H367" s="340"/>
      <c r="I367" s="340"/>
      <c r="J367" s="340"/>
      <c r="K367" s="340"/>
      <c r="L367" s="340"/>
      <c r="M367" s="340"/>
      <c r="N367" s="358" t="s">
        <v>363</v>
      </c>
      <c r="O367" s="358"/>
      <c r="P367" s="358"/>
      <c r="Q367" s="358"/>
      <c r="R367" s="358"/>
      <c r="S367" s="351" t="n">
        <f aca="false">SUM(S361:U365)</f>
        <v>0</v>
      </c>
      <c r="T367" s="351"/>
      <c r="U367" s="351"/>
      <c r="V367" s="351" t="n">
        <f aca="false">SUM(V361:X365)</f>
        <v>0</v>
      </c>
      <c r="W367" s="351"/>
      <c r="X367" s="351"/>
      <c r="Y367" s="353" t="n">
        <f aca="false">SUM(Y361:AA365)</f>
        <v>0</v>
      </c>
      <c r="Z367" s="353"/>
      <c r="AA367" s="353"/>
      <c r="AB367" s="354"/>
      <c r="AC367" s="27"/>
    </row>
    <row r="368" customFormat="false" ht="25.5" hidden="false" customHeight="true" outlineLevel="0" collapsed="false">
      <c r="B368" s="24" t="n">
        <f aca="false">IF(OR($E$340="Dictaminado",$E$340="Auditado"),1,IF(AND(LEN(E368)&gt;1,LEN(H368)&gt;1,LEN(K368)&gt;1,LEN(S368)&gt;1,LEN(V368)&gt;1,LEN(Y368)&gt;1,),1,0))</f>
        <v>0</v>
      </c>
      <c r="C368" s="17" t="str">
        <f aca="false">IF(B368=0,"*","")</f>
        <v>*</v>
      </c>
      <c r="D368" s="335" t="s">
        <v>364</v>
      </c>
      <c r="E368" s="351" t="n">
        <f aca="false">E364+E365+E366+E367+E363+E359+E355</f>
        <v>0</v>
      </c>
      <c r="F368" s="351"/>
      <c r="G368" s="351"/>
      <c r="H368" s="351" t="n">
        <f aca="false">H364+H365+H366+H367+H363+H359+H355</f>
        <v>0</v>
      </c>
      <c r="I368" s="351"/>
      <c r="J368" s="351"/>
      <c r="K368" s="351" t="n">
        <f aca="false">K364+K365+K366+K367+K363+K359+K355</f>
        <v>0</v>
      </c>
      <c r="L368" s="351"/>
      <c r="M368" s="351"/>
      <c r="N368" s="358" t="s">
        <v>365</v>
      </c>
      <c r="O368" s="358"/>
      <c r="P368" s="358"/>
      <c r="Q368" s="358"/>
      <c r="R368" s="358"/>
      <c r="S368" s="351" t="n">
        <f aca="false">S367+S360</f>
        <v>0</v>
      </c>
      <c r="T368" s="351"/>
      <c r="U368" s="351"/>
      <c r="V368" s="351" t="n">
        <f aca="false">V367+V360</f>
        <v>0</v>
      </c>
      <c r="W368" s="351"/>
      <c r="X368" s="351"/>
      <c r="Y368" s="353" t="n">
        <f aca="false">Y367+Y360</f>
        <v>0</v>
      </c>
      <c r="Z368" s="353"/>
      <c r="AA368" s="353"/>
      <c r="AB368" s="354"/>
      <c r="AC368" s="27"/>
    </row>
    <row r="369" customFormat="false" ht="26.25" hidden="false" customHeight="false" outlineLevel="0" collapsed="false">
      <c r="B369" s="24"/>
      <c r="D369" s="359"/>
      <c r="E369" s="360" t="str">
        <f aca="false">IF(E368=S368,"VALIDO","ERROR")</f>
        <v>VALIDO</v>
      </c>
      <c r="F369" s="360"/>
      <c r="G369" s="360"/>
      <c r="H369" s="360" t="str">
        <f aca="false">IF(H368=V368,"VALIDO","ERROR")</f>
        <v>VALIDO</v>
      </c>
      <c r="I369" s="360"/>
      <c r="J369" s="360"/>
      <c r="K369" s="360" t="str">
        <f aca="false">IF(K368=Y368,"VALIDO","ERROR")</f>
        <v>VALIDO</v>
      </c>
      <c r="L369" s="360"/>
      <c r="M369" s="360"/>
      <c r="N369" s="361"/>
      <c r="O369" s="361"/>
      <c r="P369" s="361"/>
      <c r="Q369" s="361"/>
      <c r="R369" s="361"/>
      <c r="S369" s="361"/>
      <c r="T369" s="361"/>
      <c r="U369" s="361"/>
      <c r="V369" s="361"/>
      <c r="W369" s="361"/>
      <c r="X369" s="361"/>
      <c r="Y369" s="361"/>
      <c r="Z369" s="361"/>
      <c r="AA369" s="361"/>
      <c r="AB369" s="83"/>
      <c r="AC369" s="27"/>
    </row>
    <row r="370" customFormat="false" ht="26.25" hidden="false" customHeight="false" outlineLevel="0" collapsed="false">
      <c r="B370" s="24"/>
      <c r="D370" s="359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317"/>
      <c r="Z370" s="317"/>
      <c r="AA370" s="329"/>
      <c r="AB370" s="209"/>
      <c r="AC370" s="27"/>
    </row>
    <row r="371" customFormat="false" ht="26.25" hidden="false" customHeight="false" outlineLevel="0" collapsed="false">
      <c r="B371" s="24"/>
      <c r="D371" s="359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317"/>
      <c r="Z371" s="317"/>
      <c r="AA371" s="329"/>
      <c r="AB371" s="209"/>
      <c r="AC371" s="27"/>
    </row>
    <row r="372" customFormat="false" ht="30" hidden="false" customHeight="true" outlineLevel="0" collapsed="false">
      <c r="B372" s="24"/>
      <c r="D372" s="362" t="s">
        <v>366</v>
      </c>
      <c r="E372" s="362"/>
      <c r="F372" s="362"/>
      <c r="G372" s="362"/>
      <c r="H372" s="362"/>
      <c r="I372" s="362"/>
      <c r="J372" s="362"/>
      <c r="K372" s="362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317"/>
      <c r="Z372" s="317"/>
      <c r="AA372" s="329"/>
      <c r="AB372" s="209"/>
      <c r="AC372" s="27"/>
    </row>
    <row r="373" customFormat="false" ht="26.25" hidden="false" customHeight="false" outlineLevel="0" collapsed="false">
      <c r="B373" s="24"/>
      <c r="D373" s="363" t="s">
        <v>325</v>
      </c>
      <c r="E373" s="363"/>
      <c r="F373" s="364" t="n">
        <f aca="true">YEAR(TODAY()-1095)</f>
        <v>2023</v>
      </c>
      <c r="G373" s="364"/>
      <c r="H373" s="364" t="n">
        <f aca="true">YEAR(TODAY()-730)</f>
        <v>2024</v>
      </c>
      <c r="I373" s="364"/>
      <c r="J373" s="365" t="n">
        <f aca="true">YEAR(TODAY()-365)</f>
        <v>2025</v>
      </c>
      <c r="K373" s="365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317"/>
      <c r="Z373" s="317"/>
      <c r="AA373" s="329"/>
      <c r="AB373" s="209"/>
      <c r="AC373" s="27"/>
    </row>
    <row r="374" customFormat="false" ht="26.25" hidden="false" customHeight="false" outlineLevel="0" collapsed="false">
      <c r="B374" s="24"/>
      <c r="D374" s="366" t="s">
        <v>367</v>
      </c>
      <c r="E374" s="366"/>
      <c r="F374" s="162"/>
      <c r="G374" s="162"/>
      <c r="H374" s="162"/>
      <c r="I374" s="162"/>
      <c r="J374" s="367"/>
      <c r="K374" s="367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317"/>
      <c r="Z374" s="317"/>
      <c r="AA374" s="329"/>
      <c r="AB374" s="209"/>
      <c r="AC374" s="27"/>
    </row>
    <row r="375" customFormat="false" ht="26.25" hidden="false" customHeight="false" outlineLevel="0" collapsed="false">
      <c r="B375" s="24"/>
      <c r="D375" s="366" t="s">
        <v>368</v>
      </c>
      <c r="E375" s="366"/>
      <c r="F375" s="162"/>
      <c r="G375" s="162"/>
      <c r="H375" s="162"/>
      <c r="I375" s="162"/>
      <c r="J375" s="367"/>
      <c r="K375" s="367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317"/>
      <c r="Z375" s="317"/>
      <c r="AA375" s="329"/>
      <c r="AB375" s="209"/>
      <c r="AC375" s="27"/>
    </row>
    <row r="376" customFormat="false" ht="26.25" hidden="false" customHeight="false" outlineLevel="0" collapsed="false">
      <c r="B376" s="24"/>
      <c r="D376" s="368" t="s">
        <v>369</v>
      </c>
      <c r="E376" s="368"/>
      <c r="F376" s="369" t="n">
        <f aca="false">F374-F375</f>
        <v>0</v>
      </c>
      <c r="G376" s="369"/>
      <c r="H376" s="369" t="n">
        <f aca="false">H374-H375</f>
        <v>0</v>
      </c>
      <c r="I376" s="369"/>
      <c r="J376" s="370" t="n">
        <f aca="false">J374-J375</f>
        <v>0</v>
      </c>
      <c r="K376" s="370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317"/>
      <c r="Z376" s="317"/>
      <c r="AA376" s="329"/>
      <c r="AB376" s="209"/>
      <c r="AC376" s="27"/>
    </row>
    <row r="377" customFormat="false" ht="26.25" hidden="false" customHeight="false" outlineLevel="0" collapsed="false">
      <c r="B377" s="24"/>
      <c r="D377" s="366" t="s">
        <v>370</v>
      </c>
      <c r="E377" s="366"/>
      <c r="F377" s="162"/>
      <c r="G377" s="162"/>
      <c r="H377" s="162"/>
      <c r="I377" s="162"/>
      <c r="J377" s="367"/>
      <c r="K377" s="367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317"/>
      <c r="Z377" s="317"/>
      <c r="AA377" s="329"/>
      <c r="AB377" s="209"/>
      <c r="AC377" s="27"/>
    </row>
    <row r="378" customFormat="false" ht="26.25" hidden="false" customHeight="false" outlineLevel="0" collapsed="false">
      <c r="B378" s="24"/>
      <c r="D378" s="366" t="s">
        <v>371</v>
      </c>
      <c r="E378" s="366"/>
      <c r="F378" s="162"/>
      <c r="G378" s="162"/>
      <c r="H378" s="162"/>
      <c r="I378" s="162"/>
      <c r="J378" s="367"/>
      <c r="K378" s="367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317"/>
      <c r="Z378" s="317"/>
      <c r="AA378" s="329"/>
      <c r="AB378" s="209"/>
      <c r="AC378" s="27"/>
    </row>
    <row r="379" customFormat="false" ht="26.25" hidden="false" customHeight="false" outlineLevel="0" collapsed="false">
      <c r="B379" s="24"/>
      <c r="D379" s="368" t="s">
        <v>372</v>
      </c>
      <c r="E379" s="368"/>
      <c r="F379" s="369" t="n">
        <f aca="false">F376-F377-F378</f>
        <v>0</v>
      </c>
      <c r="G379" s="369"/>
      <c r="H379" s="369" t="n">
        <f aca="false">H376-H377-H378</f>
        <v>0</v>
      </c>
      <c r="I379" s="369"/>
      <c r="J379" s="370" t="n">
        <f aca="false">J376-J377-J378</f>
        <v>0</v>
      </c>
      <c r="K379" s="370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317"/>
      <c r="Z379" s="317"/>
      <c r="AA379" s="329"/>
      <c r="AB379" s="209"/>
      <c r="AC379" s="27"/>
    </row>
    <row r="380" customFormat="false" ht="26.25" hidden="false" customHeight="false" outlineLevel="0" collapsed="false">
      <c r="B380" s="24"/>
      <c r="D380" s="366" t="s">
        <v>373</v>
      </c>
      <c r="E380" s="366"/>
      <c r="F380" s="162"/>
      <c r="G380" s="162"/>
      <c r="H380" s="162"/>
      <c r="I380" s="162"/>
      <c r="J380" s="367"/>
      <c r="K380" s="367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317"/>
      <c r="Z380" s="317"/>
      <c r="AA380" s="329"/>
      <c r="AB380" s="209"/>
      <c r="AC380" s="27"/>
    </row>
    <row r="381" customFormat="false" ht="26.25" hidden="false" customHeight="false" outlineLevel="0" collapsed="false">
      <c r="B381" s="24"/>
      <c r="D381" s="366" t="s">
        <v>374</v>
      </c>
      <c r="E381" s="366"/>
      <c r="F381" s="162"/>
      <c r="G381" s="162"/>
      <c r="H381" s="162"/>
      <c r="I381" s="162"/>
      <c r="J381" s="367"/>
      <c r="K381" s="367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317"/>
      <c r="Z381" s="317"/>
      <c r="AA381" s="329"/>
      <c r="AB381" s="209"/>
      <c r="AC381" s="27"/>
    </row>
    <row r="382" customFormat="false" ht="26.25" hidden="false" customHeight="false" outlineLevel="0" collapsed="false">
      <c r="B382" s="24"/>
      <c r="D382" s="366" t="s">
        <v>375</v>
      </c>
      <c r="E382" s="366"/>
      <c r="F382" s="162"/>
      <c r="G382" s="162"/>
      <c r="H382" s="162"/>
      <c r="I382" s="162"/>
      <c r="J382" s="367"/>
      <c r="K382" s="367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317"/>
      <c r="Z382" s="317"/>
      <c r="AA382" s="329"/>
      <c r="AB382" s="209"/>
      <c r="AC382" s="27"/>
    </row>
    <row r="383" customFormat="false" ht="26.25" hidden="false" customHeight="false" outlineLevel="0" collapsed="false">
      <c r="B383" s="24"/>
      <c r="D383" s="368" t="s">
        <v>376</v>
      </c>
      <c r="E383" s="368"/>
      <c r="F383" s="369" t="n">
        <f aca="false">F379+F380-F381-F382</f>
        <v>0</v>
      </c>
      <c r="G383" s="369"/>
      <c r="H383" s="369" t="n">
        <f aca="false">H379+H380-H381-H382</f>
        <v>0</v>
      </c>
      <c r="I383" s="369"/>
      <c r="J383" s="370" t="n">
        <f aca="false">J379+J380-J381-J382</f>
        <v>0</v>
      </c>
      <c r="K383" s="370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317"/>
      <c r="Z383" s="317"/>
      <c r="AA383" s="329"/>
      <c r="AB383" s="209"/>
      <c r="AC383" s="27"/>
    </row>
    <row r="384" customFormat="false" ht="26.25" hidden="false" customHeight="false" outlineLevel="0" collapsed="false">
      <c r="B384" s="24" t="n">
        <f aca="false">IF(OR($E$340="Dictaminado",$E$340="Auditado"),1,IF(SUM(B385)=3,1,0))</f>
        <v>0</v>
      </c>
      <c r="C384" s="17" t="str">
        <f aca="false">IF(B384=0,"*","")</f>
        <v>*</v>
      </c>
      <c r="D384" s="366" t="s">
        <v>377</v>
      </c>
      <c r="E384" s="366"/>
      <c r="F384" s="162"/>
      <c r="G384" s="162"/>
      <c r="H384" s="162"/>
      <c r="I384" s="162"/>
      <c r="J384" s="367"/>
      <c r="K384" s="367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317"/>
      <c r="Z384" s="317"/>
      <c r="AA384" s="329"/>
      <c r="AB384" s="209"/>
      <c r="AC384" s="27"/>
    </row>
    <row r="385" customFormat="false" ht="26.25" hidden="false" customHeight="false" outlineLevel="0" collapsed="false">
      <c r="B385" s="24" t="n">
        <f aca="false">IF(OR($E$340="Dictaminado",$E$340="Auditado"),1,IF(LEN(F374)&gt;1,1,0))</f>
        <v>0</v>
      </c>
      <c r="C385" s="17" t="str">
        <f aca="false">IF(B385=0,"*","")</f>
        <v>*</v>
      </c>
      <c r="D385" s="371" t="s">
        <v>378</v>
      </c>
      <c r="E385" s="371"/>
      <c r="F385" s="372" t="n">
        <f aca="false">F383-F384</f>
        <v>0</v>
      </c>
      <c r="G385" s="372"/>
      <c r="H385" s="372" t="n">
        <f aca="false">H383-H384</f>
        <v>0</v>
      </c>
      <c r="I385" s="372"/>
      <c r="J385" s="373" t="n">
        <f aca="false">J383-J384</f>
        <v>0</v>
      </c>
      <c r="K385" s="373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317"/>
      <c r="Z385" s="317"/>
      <c r="AA385" s="329"/>
      <c r="AB385" s="209"/>
      <c r="AC385" s="27"/>
    </row>
    <row r="386" customFormat="false" ht="26.25" hidden="false" customHeight="false" outlineLevel="0" collapsed="false">
      <c r="B386" s="24"/>
      <c r="D386" s="374"/>
      <c r="E386" s="375"/>
      <c r="F386" s="375"/>
      <c r="G386" s="375"/>
      <c r="H386" s="375"/>
      <c r="I386" s="375"/>
      <c r="J386" s="375"/>
      <c r="K386" s="375"/>
      <c r="L386" s="375"/>
      <c r="M386" s="375"/>
      <c r="N386" s="375"/>
      <c r="O386" s="375"/>
      <c r="P386" s="375"/>
      <c r="Q386" s="375"/>
      <c r="R386" s="375"/>
      <c r="S386" s="375"/>
      <c r="T386" s="375"/>
      <c r="U386" s="375"/>
      <c r="V386" s="375"/>
      <c r="W386" s="375"/>
      <c r="X386" s="375"/>
      <c r="Y386" s="376"/>
      <c r="Z386" s="376"/>
      <c r="AA386" s="377"/>
      <c r="AB386" s="209"/>
      <c r="AC386" s="27"/>
    </row>
    <row r="387" customFormat="false" ht="26.25" hidden="false" customHeight="false" outlineLevel="0" collapsed="false">
      <c r="B387" s="24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317"/>
      <c r="Z387" s="317"/>
      <c r="AA387" s="317"/>
      <c r="AB387" s="209"/>
      <c r="AC387" s="27"/>
    </row>
    <row r="388" customFormat="false" ht="43.5" hidden="false" customHeight="true" outlineLevel="0" collapsed="false">
      <c r="B388" s="24"/>
      <c r="D388" s="378" t="s">
        <v>379</v>
      </c>
      <c r="E388" s="378"/>
      <c r="F388" s="378"/>
      <c r="G388" s="378"/>
      <c r="H388" s="378"/>
      <c r="I388" s="378"/>
      <c r="J388" s="378"/>
      <c r="K388" s="378"/>
      <c r="L388" s="378"/>
      <c r="M388" s="378"/>
      <c r="N388" s="378"/>
      <c r="O388" s="378"/>
      <c r="P388" s="378"/>
      <c r="Q388" s="378"/>
      <c r="R388" s="378"/>
      <c r="S388" s="378"/>
      <c r="T388" s="378"/>
      <c r="U388" s="378"/>
      <c r="V388" s="378"/>
      <c r="W388" s="378"/>
      <c r="X388" s="378"/>
      <c r="Y388" s="378"/>
      <c r="Z388" s="378"/>
      <c r="AA388" s="378"/>
      <c r="AB388" s="209"/>
      <c r="AC388" s="27"/>
    </row>
    <row r="389" customFormat="false" ht="26.25" hidden="false" customHeight="false" outlineLevel="0" collapsed="false">
      <c r="B389" s="24"/>
      <c r="D389" s="379" t="s">
        <v>320</v>
      </c>
      <c r="E389" s="379"/>
      <c r="F389" s="379"/>
      <c r="G389" s="379"/>
      <c r="H389" s="379"/>
      <c r="I389" s="379"/>
      <c r="J389" s="379"/>
      <c r="K389" s="379"/>
      <c r="L389" s="379"/>
      <c r="M389" s="379"/>
      <c r="N389" s="379"/>
      <c r="O389" s="379"/>
      <c r="P389" s="379"/>
      <c r="Q389" s="379"/>
      <c r="R389" s="379"/>
      <c r="S389" s="379"/>
      <c r="T389" s="379"/>
      <c r="U389" s="379"/>
      <c r="V389" s="379"/>
      <c r="W389" s="379"/>
      <c r="X389" s="379"/>
      <c r="Y389" s="379"/>
      <c r="Z389" s="379"/>
      <c r="AA389" s="379"/>
      <c r="AB389" s="209"/>
      <c r="AC389" s="27"/>
    </row>
    <row r="390" customFormat="false" ht="26.25" hidden="false" customHeight="false" outlineLevel="0" collapsed="false">
      <c r="B390" s="24" t="n">
        <f aca="false">IF(AND(LEN(E390)&gt;1,LEN(G390)&gt;1),1,0)</f>
        <v>0</v>
      </c>
      <c r="C390" s="17" t="str">
        <f aca="false">IF(B390=0,"*","")</f>
        <v>*</v>
      </c>
      <c r="D390" s="380" t="s">
        <v>380</v>
      </c>
      <c r="E390" s="381"/>
      <c r="F390" s="381"/>
      <c r="G390" s="381"/>
      <c r="H390" s="381"/>
      <c r="I390" s="381"/>
      <c r="J390" s="382" t="n">
        <f aca="true">YEAR(TODAY())</f>
        <v>2026</v>
      </c>
      <c r="K390" s="382"/>
      <c r="L390" s="382"/>
      <c r="M390" s="383"/>
      <c r="N390" s="383"/>
      <c r="O390" s="383"/>
      <c r="P390" s="383"/>
      <c r="Q390" s="383"/>
      <c r="R390" s="383"/>
      <c r="S390" s="383"/>
      <c r="T390" s="383"/>
      <c r="U390" s="383"/>
      <c r="V390" s="383"/>
      <c r="W390" s="383"/>
      <c r="X390" s="383"/>
      <c r="Y390" s="383"/>
      <c r="Z390" s="383"/>
      <c r="AA390" s="383"/>
      <c r="AB390" s="209"/>
      <c r="AC390" s="27"/>
    </row>
    <row r="391" customFormat="false" ht="26.25" hidden="false" customHeight="false" outlineLevel="0" collapsed="false">
      <c r="B391" s="24" t="n">
        <f aca="false">IF(LEN(E391)&gt;2,1,0)</f>
        <v>0</v>
      </c>
      <c r="C391" s="17" t="str">
        <f aca="false">IF(B391=0,"*","")</f>
        <v>*</v>
      </c>
      <c r="D391" s="384" t="s">
        <v>322</v>
      </c>
      <c r="E391" s="385"/>
      <c r="F391" s="385"/>
      <c r="G391" s="385"/>
      <c r="H391" s="386"/>
      <c r="I391" s="386"/>
      <c r="J391" s="73"/>
      <c r="K391" s="73"/>
      <c r="L391" s="73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387"/>
      <c r="Z391" s="387"/>
      <c r="AA391" s="388"/>
      <c r="AB391" s="209"/>
      <c r="AC391" s="27"/>
    </row>
    <row r="392" customFormat="false" ht="38.25" hidden="false" customHeight="true" outlineLevel="0" collapsed="false">
      <c r="B392" s="24"/>
      <c r="D392" s="389" t="s">
        <v>323</v>
      </c>
      <c r="E392" s="389"/>
      <c r="F392" s="389"/>
      <c r="G392" s="389"/>
      <c r="H392" s="390" t="s">
        <v>324</v>
      </c>
      <c r="I392" s="390"/>
      <c r="J392" s="390"/>
      <c r="K392" s="390"/>
      <c r="L392" s="390"/>
      <c r="M392" s="390"/>
      <c r="N392" s="390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387"/>
      <c r="Z392" s="387"/>
      <c r="AA392" s="388"/>
      <c r="AB392" s="209"/>
      <c r="AC392" s="27"/>
    </row>
    <row r="393" customFormat="false" ht="33" hidden="false" customHeight="true" outlineLevel="0" collapsed="false">
      <c r="B393" s="24"/>
      <c r="D393" s="391" t="s">
        <v>325</v>
      </c>
      <c r="E393" s="392" t="n">
        <f aca="false">J390</f>
        <v>2026</v>
      </c>
      <c r="F393" s="392"/>
      <c r="G393" s="392"/>
      <c r="H393" s="393" t="s">
        <v>326</v>
      </c>
      <c r="I393" s="393"/>
      <c r="J393" s="393"/>
      <c r="K393" s="393"/>
      <c r="L393" s="392" t="n">
        <f aca="false">J390</f>
        <v>2026</v>
      </c>
      <c r="M393" s="392"/>
      <c r="N393" s="392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387"/>
      <c r="Z393" s="387"/>
      <c r="AA393" s="388"/>
      <c r="AB393" s="209"/>
      <c r="AC393" s="27"/>
    </row>
    <row r="394" customFormat="false" ht="25.5" hidden="false" customHeight="true" outlineLevel="0" collapsed="false">
      <c r="B394" s="24"/>
      <c r="D394" s="394" t="s">
        <v>327</v>
      </c>
      <c r="E394" s="340"/>
      <c r="F394" s="340"/>
      <c r="G394" s="340"/>
      <c r="H394" s="395" t="s">
        <v>328</v>
      </c>
      <c r="I394" s="395"/>
      <c r="J394" s="395"/>
      <c r="K394" s="395"/>
      <c r="L394" s="340"/>
      <c r="M394" s="340"/>
      <c r="N394" s="340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387"/>
      <c r="Z394" s="387"/>
      <c r="AA394" s="388"/>
      <c r="AB394" s="209"/>
      <c r="AC394" s="27"/>
    </row>
    <row r="395" customFormat="false" ht="25.5" hidden="false" customHeight="true" outlineLevel="0" collapsed="false">
      <c r="B395" s="24"/>
      <c r="D395" s="394" t="s">
        <v>329</v>
      </c>
      <c r="E395" s="340"/>
      <c r="F395" s="340"/>
      <c r="G395" s="340"/>
      <c r="H395" s="395" t="s">
        <v>330</v>
      </c>
      <c r="I395" s="395"/>
      <c r="J395" s="395"/>
      <c r="K395" s="395"/>
      <c r="L395" s="340"/>
      <c r="M395" s="340"/>
      <c r="N395" s="340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387"/>
      <c r="Z395" s="387"/>
      <c r="AA395" s="388"/>
      <c r="AB395" s="209"/>
      <c r="AC395" s="27"/>
    </row>
    <row r="396" customFormat="false" ht="25.5" hidden="false" customHeight="true" outlineLevel="0" collapsed="false">
      <c r="B396" s="24"/>
      <c r="D396" s="394" t="s">
        <v>331</v>
      </c>
      <c r="E396" s="340"/>
      <c r="F396" s="340"/>
      <c r="G396" s="340"/>
      <c r="H396" s="395" t="s">
        <v>332</v>
      </c>
      <c r="I396" s="395"/>
      <c r="J396" s="395"/>
      <c r="K396" s="395"/>
      <c r="L396" s="340"/>
      <c r="M396" s="340"/>
      <c r="N396" s="340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387"/>
      <c r="Z396" s="387"/>
      <c r="AA396" s="388"/>
      <c r="AB396" s="209"/>
      <c r="AC396" s="27"/>
    </row>
    <row r="397" customFormat="false" ht="25.5" hidden="false" customHeight="true" outlineLevel="0" collapsed="false">
      <c r="B397" s="24"/>
      <c r="D397" s="394" t="s">
        <v>333</v>
      </c>
      <c r="E397" s="340"/>
      <c r="F397" s="340"/>
      <c r="G397" s="340"/>
      <c r="H397" s="395" t="s">
        <v>334</v>
      </c>
      <c r="I397" s="395"/>
      <c r="J397" s="395"/>
      <c r="K397" s="395"/>
      <c r="L397" s="340"/>
      <c r="M397" s="340"/>
      <c r="N397" s="340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387"/>
      <c r="Z397" s="387"/>
      <c r="AA397" s="388"/>
      <c r="AB397" s="209"/>
      <c r="AC397" s="27"/>
    </row>
    <row r="398" customFormat="false" ht="25.5" hidden="false" customHeight="true" outlineLevel="0" collapsed="false">
      <c r="B398" s="24"/>
      <c r="D398" s="394" t="s">
        <v>335</v>
      </c>
      <c r="E398" s="340"/>
      <c r="F398" s="340"/>
      <c r="G398" s="340"/>
      <c r="H398" s="395" t="s">
        <v>336</v>
      </c>
      <c r="I398" s="395"/>
      <c r="J398" s="395"/>
      <c r="K398" s="395"/>
      <c r="L398" s="340"/>
      <c r="M398" s="340"/>
      <c r="N398" s="340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387"/>
      <c r="Z398" s="387"/>
      <c r="AA398" s="388"/>
      <c r="AB398" s="209"/>
      <c r="AC398" s="27"/>
    </row>
    <row r="399" customFormat="false" ht="25.5" hidden="false" customHeight="true" outlineLevel="0" collapsed="false">
      <c r="B399" s="24"/>
      <c r="D399" s="394" t="s">
        <v>337</v>
      </c>
      <c r="E399" s="340"/>
      <c r="F399" s="340"/>
      <c r="G399" s="340"/>
      <c r="H399" s="395" t="s">
        <v>338</v>
      </c>
      <c r="I399" s="395"/>
      <c r="J399" s="395"/>
      <c r="K399" s="395"/>
      <c r="L399" s="340"/>
      <c r="M399" s="340"/>
      <c r="N399" s="340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387"/>
      <c r="Z399" s="387"/>
      <c r="AA399" s="388"/>
      <c r="AB399" s="209"/>
      <c r="AC399" s="27"/>
    </row>
    <row r="400" customFormat="false" ht="25.5" hidden="false" customHeight="true" outlineLevel="0" collapsed="false">
      <c r="B400" s="24"/>
      <c r="D400" s="394" t="s">
        <v>339</v>
      </c>
      <c r="E400" s="340"/>
      <c r="F400" s="340"/>
      <c r="G400" s="340"/>
      <c r="H400" s="395" t="s">
        <v>340</v>
      </c>
      <c r="I400" s="395"/>
      <c r="J400" s="395"/>
      <c r="K400" s="395"/>
      <c r="L400" s="340"/>
      <c r="M400" s="340"/>
      <c r="N400" s="340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387"/>
      <c r="Z400" s="387"/>
      <c r="AA400" s="388"/>
      <c r="AB400" s="209"/>
      <c r="AC400" s="27"/>
    </row>
    <row r="401" customFormat="false" ht="25.5" hidden="false" customHeight="true" outlineLevel="0" collapsed="false">
      <c r="B401" s="24"/>
      <c r="D401" s="394" t="s">
        <v>338</v>
      </c>
      <c r="E401" s="340"/>
      <c r="F401" s="340"/>
      <c r="G401" s="340"/>
      <c r="H401" s="395" t="s">
        <v>341</v>
      </c>
      <c r="I401" s="395"/>
      <c r="J401" s="395"/>
      <c r="K401" s="395"/>
      <c r="L401" s="340"/>
      <c r="M401" s="340"/>
      <c r="N401" s="340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387"/>
      <c r="Z401" s="387"/>
      <c r="AA401" s="388"/>
      <c r="AB401" s="209"/>
      <c r="AC401" s="27"/>
    </row>
    <row r="402" customFormat="false" ht="25.5" hidden="false" customHeight="true" outlineLevel="0" collapsed="false">
      <c r="B402" s="24"/>
      <c r="D402" s="394" t="s">
        <v>342</v>
      </c>
      <c r="E402" s="340"/>
      <c r="F402" s="340"/>
      <c r="G402" s="340"/>
      <c r="H402" s="395" t="s">
        <v>343</v>
      </c>
      <c r="I402" s="395"/>
      <c r="J402" s="395"/>
      <c r="K402" s="395"/>
      <c r="L402" s="340"/>
      <c r="M402" s="340"/>
      <c r="N402" s="340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387"/>
      <c r="Z402" s="387"/>
      <c r="AA402" s="388"/>
      <c r="AB402" s="209"/>
      <c r="AC402" s="27"/>
    </row>
    <row r="403" customFormat="false" ht="26.25" hidden="false" customHeight="false" outlineLevel="0" collapsed="false">
      <c r="B403" s="24"/>
      <c r="D403" s="394"/>
      <c r="E403" s="340"/>
      <c r="F403" s="340"/>
      <c r="G403" s="340"/>
      <c r="H403" s="177"/>
      <c r="I403" s="177"/>
      <c r="J403" s="177"/>
      <c r="K403" s="177"/>
      <c r="L403" s="340"/>
      <c r="M403" s="340"/>
      <c r="N403" s="340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387"/>
      <c r="Z403" s="387"/>
      <c r="AA403" s="388"/>
      <c r="AB403" s="209"/>
      <c r="AC403" s="27"/>
    </row>
    <row r="404" customFormat="false" ht="26.25" hidden="false" customHeight="true" outlineLevel="0" collapsed="false">
      <c r="B404" s="24"/>
      <c r="D404" s="391" t="s">
        <v>344</v>
      </c>
      <c r="E404" s="396" t="n">
        <f aca="false">SUM(E394:E403)</f>
        <v>0</v>
      </c>
      <c r="F404" s="396"/>
      <c r="G404" s="396"/>
      <c r="H404" s="393" t="s">
        <v>345</v>
      </c>
      <c r="I404" s="393"/>
      <c r="J404" s="393"/>
      <c r="K404" s="393"/>
      <c r="L404" s="396" t="n">
        <f aca="false">SUM(L394:L403)</f>
        <v>0</v>
      </c>
      <c r="M404" s="396"/>
      <c r="N404" s="396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387"/>
      <c r="Z404" s="387"/>
      <c r="AA404" s="388"/>
      <c r="AB404" s="209"/>
      <c r="AC404" s="27"/>
    </row>
    <row r="405" customFormat="false" ht="25.5" hidden="false" customHeight="true" outlineLevel="0" collapsed="false">
      <c r="B405" s="24"/>
      <c r="D405" s="394" t="s">
        <v>346</v>
      </c>
      <c r="E405" s="340"/>
      <c r="F405" s="340"/>
      <c r="G405" s="340"/>
      <c r="H405" s="395" t="s">
        <v>347</v>
      </c>
      <c r="I405" s="395"/>
      <c r="J405" s="395"/>
      <c r="K405" s="395"/>
      <c r="L405" s="340"/>
      <c r="M405" s="340"/>
      <c r="N405" s="340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387"/>
      <c r="Z405" s="387"/>
      <c r="AA405" s="388"/>
      <c r="AB405" s="209"/>
      <c r="AC405" s="27"/>
    </row>
    <row r="406" customFormat="false" ht="26.25" hidden="false" customHeight="true" outlineLevel="0" collapsed="false">
      <c r="B406" s="24"/>
      <c r="D406" s="394" t="s">
        <v>348</v>
      </c>
      <c r="E406" s="340"/>
      <c r="F406" s="340"/>
      <c r="G406" s="340"/>
      <c r="H406" s="395" t="s">
        <v>349</v>
      </c>
      <c r="I406" s="395"/>
      <c r="J406" s="395"/>
      <c r="K406" s="395"/>
      <c r="L406" s="340"/>
      <c r="M406" s="340"/>
      <c r="N406" s="340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387"/>
      <c r="Z406" s="387"/>
      <c r="AA406" s="388"/>
      <c r="AB406" s="209"/>
      <c r="AC406" s="27"/>
    </row>
    <row r="407" customFormat="false" ht="26.25" hidden="false" customHeight="true" outlineLevel="0" collapsed="false">
      <c r="B407" s="24"/>
      <c r="D407" s="394" t="s">
        <v>350</v>
      </c>
      <c r="E407" s="340"/>
      <c r="F407" s="340"/>
      <c r="G407" s="340"/>
      <c r="H407" s="393" t="s">
        <v>351</v>
      </c>
      <c r="I407" s="393"/>
      <c r="J407" s="393"/>
      <c r="K407" s="393"/>
      <c r="L407" s="396" t="n">
        <f aca="false">SUM(L405:L406)</f>
        <v>0</v>
      </c>
      <c r="M407" s="396"/>
      <c r="N407" s="396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387"/>
      <c r="Z407" s="387"/>
      <c r="AA407" s="388"/>
      <c r="AB407" s="209"/>
      <c r="AC407" s="27"/>
    </row>
    <row r="408" customFormat="false" ht="26.25" hidden="false" customHeight="false" outlineLevel="0" collapsed="false">
      <c r="B408" s="24"/>
      <c r="D408" s="397" t="s">
        <v>352</v>
      </c>
      <c r="E408" s="396" t="n">
        <f aca="false">SUM(E405:E407)</f>
        <v>0</v>
      </c>
      <c r="F408" s="396"/>
      <c r="G408" s="396"/>
      <c r="H408" s="177"/>
      <c r="I408" s="177"/>
      <c r="J408" s="177"/>
      <c r="K408" s="177"/>
      <c r="L408" s="340"/>
      <c r="M408" s="340"/>
      <c r="N408" s="340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387"/>
      <c r="Z408" s="387"/>
      <c r="AA408" s="388"/>
      <c r="AB408" s="209"/>
      <c r="AC408" s="27"/>
    </row>
    <row r="409" customFormat="false" ht="26.25" hidden="false" customHeight="true" outlineLevel="0" collapsed="false">
      <c r="B409" s="24"/>
      <c r="D409" s="394" t="s">
        <v>353</v>
      </c>
      <c r="E409" s="340"/>
      <c r="F409" s="340"/>
      <c r="G409" s="340"/>
      <c r="H409" s="393" t="s">
        <v>354</v>
      </c>
      <c r="I409" s="393"/>
      <c r="J409" s="393"/>
      <c r="K409" s="393"/>
      <c r="L409" s="396" t="n">
        <f aca="false">SUM(L404+L407)</f>
        <v>0</v>
      </c>
      <c r="M409" s="396"/>
      <c r="N409" s="396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387"/>
      <c r="Z409" s="387"/>
      <c r="AA409" s="388"/>
      <c r="AB409" s="209"/>
      <c r="AC409" s="27"/>
    </row>
    <row r="410" customFormat="false" ht="25.5" hidden="false" customHeight="true" outlineLevel="0" collapsed="false">
      <c r="B410" s="24"/>
      <c r="D410" s="394" t="s">
        <v>355</v>
      </c>
      <c r="E410" s="340"/>
      <c r="F410" s="340"/>
      <c r="G410" s="340"/>
      <c r="H410" s="395" t="s">
        <v>356</v>
      </c>
      <c r="I410" s="395"/>
      <c r="J410" s="395"/>
      <c r="K410" s="395"/>
      <c r="L410" s="340"/>
      <c r="M410" s="340"/>
      <c r="N410" s="340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387"/>
      <c r="Z410" s="387"/>
      <c r="AA410" s="388"/>
      <c r="AB410" s="209"/>
      <c r="AC410" s="27"/>
    </row>
    <row r="411" customFormat="false" ht="26.25" hidden="false" customHeight="true" outlineLevel="0" collapsed="false">
      <c r="B411" s="24"/>
      <c r="D411" s="394" t="s">
        <v>357</v>
      </c>
      <c r="E411" s="340"/>
      <c r="F411" s="340"/>
      <c r="G411" s="340"/>
      <c r="H411" s="395" t="s">
        <v>358</v>
      </c>
      <c r="I411" s="395"/>
      <c r="J411" s="395"/>
      <c r="K411" s="395"/>
      <c r="L411" s="340"/>
      <c r="M411" s="340"/>
      <c r="N411" s="340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387"/>
      <c r="Z411" s="387"/>
      <c r="AA411" s="388"/>
      <c r="AB411" s="209"/>
      <c r="AC411" s="27"/>
    </row>
    <row r="412" customFormat="false" ht="26.25" hidden="false" customHeight="true" outlineLevel="0" collapsed="false">
      <c r="B412" s="24"/>
      <c r="D412" s="391" t="s">
        <v>359</v>
      </c>
      <c r="E412" s="396" t="n">
        <f aca="false">SUM(E409:E411)</f>
        <v>0</v>
      </c>
      <c r="F412" s="396"/>
      <c r="G412" s="396"/>
      <c r="H412" s="395" t="s">
        <v>360</v>
      </c>
      <c r="I412" s="395"/>
      <c r="J412" s="395"/>
      <c r="K412" s="395"/>
      <c r="L412" s="340"/>
      <c r="M412" s="340"/>
      <c r="N412" s="340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387"/>
      <c r="Z412" s="387"/>
      <c r="AA412" s="388"/>
      <c r="AB412" s="209"/>
      <c r="AC412" s="27"/>
    </row>
    <row r="413" customFormat="false" ht="25.5" hidden="false" customHeight="true" outlineLevel="0" collapsed="false">
      <c r="B413" s="24"/>
      <c r="D413" s="394" t="s">
        <v>357</v>
      </c>
      <c r="E413" s="340"/>
      <c r="F413" s="340"/>
      <c r="G413" s="340"/>
      <c r="H413" s="395" t="s">
        <v>361</v>
      </c>
      <c r="I413" s="395"/>
      <c r="J413" s="395"/>
      <c r="K413" s="395"/>
      <c r="L413" s="340"/>
      <c r="M413" s="340"/>
      <c r="N413" s="340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387"/>
      <c r="Z413" s="387"/>
      <c r="AA413" s="388"/>
      <c r="AB413" s="209"/>
      <c r="AC413" s="27"/>
    </row>
    <row r="414" customFormat="false" ht="25.5" hidden="false" customHeight="true" outlineLevel="0" collapsed="false">
      <c r="B414" s="24"/>
      <c r="D414" s="394" t="s">
        <v>357</v>
      </c>
      <c r="E414" s="340"/>
      <c r="F414" s="340"/>
      <c r="G414" s="340"/>
      <c r="H414" s="395" t="s">
        <v>362</v>
      </c>
      <c r="I414" s="395"/>
      <c r="J414" s="395"/>
      <c r="K414" s="395"/>
      <c r="L414" s="340"/>
      <c r="M414" s="340"/>
      <c r="N414" s="340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387"/>
      <c r="Z414" s="387"/>
      <c r="AA414" s="388"/>
      <c r="AB414" s="209"/>
      <c r="AC414" s="27"/>
    </row>
    <row r="415" customFormat="false" ht="26.25" hidden="false" customHeight="false" outlineLevel="0" collapsed="false">
      <c r="B415" s="24"/>
      <c r="D415" s="394" t="s">
        <v>357</v>
      </c>
      <c r="E415" s="340"/>
      <c r="F415" s="340"/>
      <c r="G415" s="340"/>
      <c r="H415" s="398"/>
      <c r="I415" s="398"/>
      <c r="J415" s="398"/>
      <c r="K415" s="398"/>
      <c r="L415" s="340"/>
      <c r="M415" s="340"/>
      <c r="N415" s="340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387"/>
      <c r="Z415" s="387"/>
      <c r="AA415" s="388"/>
      <c r="AB415" s="209"/>
      <c r="AC415" s="27"/>
    </row>
    <row r="416" customFormat="false" ht="26.25" hidden="false" customHeight="true" outlineLevel="0" collapsed="false">
      <c r="B416" s="24"/>
      <c r="D416" s="394" t="s">
        <v>357</v>
      </c>
      <c r="E416" s="340"/>
      <c r="F416" s="340"/>
      <c r="G416" s="340"/>
      <c r="H416" s="393" t="s">
        <v>363</v>
      </c>
      <c r="I416" s="393"/>
      <c r="J416" s="393"/>
      <c r="K416" s="393"/>
      <c r="L416" s="396" t="n">
        <f aca="false">SUM(L410:L415)</f>
        <v>0</v>
      </c>
      <c r="M416" s="396"/>
      <c r="N416" s="396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387"/>
      <c r="Z416" s="387"/>
      <c r="AA416" s="388"/>
      <c r="AB416" s="209"/>
      <c r="AC416" s="27"/>
    </row>
    <row r="417" customFormat="false" ht="26.25" hidden="false" customHeight="true" outlineLevel="0" collapsed="false">
      <c r="B417" s="24" t="n">
        <f aca="false">IF(AND(E417&gt;-1000000000000, L417&gt;-1000000000000,E418="Validado",E404&gt;0),1,0)</f>
        <v>0</v>
      </c>
      <c r="C417" s="17" t="str">
        <f aca="false">IF(B417=0,"*","")</f>
        <v>*</v>
      </c>
      <c r="D417" s="391" t="s">
        <v>364</v>
      </c>
      <c r="E417" s="396" t="n">
        <f aca="false">SUM(E412+E408+E404+E413+E414+E415+E416)</f>
        <v>0</v>
      </c>
      <c r="F417" s="396"/>
      <c r="G417" s="396"/>
      <c r="H417" s="393" t="s">
        <v>365</v>
      </c>
      <c r="I417" s="393"/>
      <c r="J417" s="393"/>
      <c r="K417" s="393"/>
      <c r="L417" s="396" t="n">
        <f aca="false">SUM(L416+L409)</f>
        <v>0</v>
      </c>
      <c r="M417" s="396"/>
      <c r="N417" s="396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387"/>
      <c r="Z417" s="387"/>
      <c r="AA417" s="388"/>
      <c r="AB417" s="209"/>
      <c r="AC417" s="27"/>
    </row>
    <row r="418" customFormat="false" ht="26.25" hidden="false" customHeight="false" outlineLevel="0" collapsed="false">
      <c r="B418" s="24"/>
      <c r="D418" s="399"/>
      <c r="E418" s="400" t="str">
        <f aca="false">IF(E417=L417,"Validado","ERROR")</f>
        <v>Validado</v>
      </c>
      <c r="F418" s="400"/>
      <c r="G418" s="400"/>
      <c r="H418" s="41"/>
      <c r="I418" s="41"/>
      <c r="J418" s="41"/>
      <c r="K418" s="401"/>
      <c r="L418" s="400" t="str">
        <f aca="false">E418</f>
        <v>Validado</v>
      </c>
      <c r="M418" s="400"/>
      <c r="N418" s="400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387"/>
      <c r="Z418" s="387"/>
      <c r="AA418" s="388"/>
      <c r="AB418" s="209"/>
      <c r="AC418" s="27"/>
    </row>
    <row r="419" customFormat="false" ht="26.25" hidden="false" customHeight="false" outlineLevel="0" collapsed="false">
      <c r="B419" s="24"/>
      <c r="D419" s="399"/>
      <c r="E419" s="402"/>
      <c r="F419" s="402"/>
      <c r="G419" s="402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387"/>
      <c r="Z419" s="387"/>
      <c r="AA419" s="388"/>
      <c r="AB419" s="209"/>
      <c r="AC419" s="27"/>
    </row>
    <row r="420" customFormat="false" ht="27" hidden="false" customHeight="true" outlineLevel="0" collapsed="false">
      <c r="B420" s="24"/>
      <c r="D420" s="403" t="s">
        <v>381</v>
      </c>
      <c r="E420" s="403"/>
      <c r="F420" s="403"/>
      <c r="G420" s="403"/>
      <c r="H420" s="403"/>
      <c r="I420" s="403"/>
      <c r="J420" s="403"/>
      <c r="K420" s="403"/>
      <c r="L420" s="403"/>
      <c r="M420" s="403"/>
      <c r="N420" s="403"/>
      <c r="O420" s="403"/>
      <c r="P420" s="403"/>
      <c r="Q420" s="403"/>
      <c r="R420" s="403"/>
      <c r="S420" s="403"/>
      <c r="T420" s="403"/>
      <c r="U420" s="403"/>
      <c r="V420" s="403"/>
      <c r="W420" s="403"/>
      <c r="X420" s="403"/>
      <c r="Y420" s="403"/>
      <c r="Z420" s="403"/>
      <c r="AA420" s="403"/>
      <c r="AB420" s="209"/>
      <c r="AC420" s="27"/>
    </row>
    <row r="421" customFormat="false" ht="26.25" hidden="false" customHeight="false" outlineLevel="0" collapsed="false">
      <c r="B421" s="24"/>
      <c r="D421" s="404"/>
      <c r="E421" s="402"/>
      <c r="F421" s="405"/>
      <c r="G421" s="402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387"/>
      <c r="Z421" s="387"/>
      <c r="AA421" s="388"/>
      <c r="AB421" s="209"/>
      <c r="AC421" s="27"/>
    </row>
    <row r="422" customFormat="false" ht="26.25" hidden="false" customHeight="false" outlineLevel="0" collapsed="false">
      <c r="B422" s="24"/>
      <c r="D422" s="406" t="s">
        <v>366</v>
      </c>
      <c r="E422" s="406"/>
      <c r="F422" s="406"/>
      <c r="G422" s="406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387"/>
      <c r="Z422" s="387"/>
      <c r="AA422" s="388"/>
      <c r="AB422" s="209"/>
      <c r="AC422" s="27"/>
    </row>
    <row r="423" customFormat="false" ht="26.25" hidden="false" customHeight="true" outlineLevel="0" collapsed="false">
      <c r="B423" s="24"/>
      <c r="D423" s="407" t="s">
        <v>325</v>
      </c>
      <c r="E423" s="407"/>
      <c r="F423" s="408" t="n">
        <f aca="false">J390</f>
        <v>2026</v>
      </c>
      <c r="G423" s="408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387"/>
      <c r="Z423" s="387"/>
      <c r="AA423" s="388"/>
      <c r="AB423" s="209"/>
      <c r="AC423" s="27"/>
    </row>
    <row r="424" customFormat="false" ht="26.25" hidden="false" customHeight="false" outlineLevel="0" collapsed="false">
      <c r="B424" s="24"/>
      <c r="D424" s="409" t="s">
        <v>367</v>
      </c>
      <c r="E424" s="409"/>
      <c r="F424" s="410"/>
      <c r="G424" s="410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387"/>
      <c r="Z424" s="387"/>
      <c r="AA424" s="388"/>
      <c r="AB424" s="209"/>
      <c r="AC424" s="27"/>
    </row>
    <row r="425" customFormat="false" ht="26.25" hidden="false" customHeight="false" outlineLevel="0" collapsed="false">
      <c r="B425" s="24"/>
      <c r="D425" s="409" t="s">
        <v>368</v>
      </c>
      <c r="E425" s="409"/>
      <c r="F425" s="410"/>
      <c r="G425" s="410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387"/>
      <c r="Z425" s="387"/>
      <c r="AA425" s="388"/>
      <c r="AB425" s="209"/>
      <c r="AC425" s="27"/>
    </row>
    <row r="426" customFormat="false" ht="26.25" hidden="false" customHeight="true" outlineLevel="0" collapsed="false">
      <c r="B426" s="24"/>
      <c r="D426" s="391" t="s">
        <v>369</v>
      </c>
      <c r="E426" s="391"/>
      <c r="F426" s="411" t="n">
        <f aca="false">F424-F425</f>
        <v>0</v>
      </c>
      <c r="G426" s="41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387"/>
      <c r="Z426" s="387"/>
      <c r="AA426" s="388"/>
      <c r="AB426" s="209"/>
      <c r="AC426" s="27"/>
    </row>
    <row r="427" customFormat="false" ht="26.25" hidden="false" customHeight="false" outlineLevel="0" collapsed="false">
      <c r="B427" s="24"/>
      <c r="D427" s="409" t="s">
        <v>370</v>
      </c>
      <c r="E427" s="409"/>
      <c r="F427" s="410"/>
      <c r="G427" s="410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387"/>
      <c r="Z427" s="387"/>
      <c r="AA427" s="388"/>
      <c r="AB427" s="209"/>
      <c r="AC427" s="27"/>
    </row>
    <row r="428" customFormat="false" ht="26.25" hidden="false" customHeight="false" outlineLevel="0" collapsed="false">
      <c r="B428" s="24"/>
      <c r="D428" s="409" t="s">
        <v>371</v>
      </c>
      <c r="E428" s="409"/>
      <c r="F428" s="410"/>
      <c r="G428" s="410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387"/>
      <c r="Z428" s="387"/>
      <c r="AA428" s="388"/>
      <c r="AB428" s="209"/>
      <c r="AC428" s="27"/>
    </row>
    <row r="429" customFormat="false" ht="26.25" hidden="false" customHeight="true" outlineLevel="0" collapsed="false">
      <c r="B429" s="24"/>
      <c r="D429" s="391" t="s">
        <v>372</v>
      </c>
      <c r="E429" s="391"/>
      <c r="F429" s="411" t="n">
        <f aca="false">F426-F427-F428</f>
        <v>0</v>
      </c>
      <c r="G429" s="41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387"/>
      <c r="Z429" s="387"/>
      <c r="AA429" s="388"/>
      <c r="AB429" s="209"/>
      <c r="AC429" s="27"/>
    </row>
    <row r="430" customFormat="false" ht="26.25" hidden="false" customHeight="false" outlineLevel="0" collapsed="false">
      <c r="B430" s="24"/>
      <c r="D430" s="409" t="s">
        <v>373</v>
      </c>
      <c r="E430" s="409"/>
      <c r="F430" s="410"/>
      <c r="G430" s="410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387"/>
      <c r="Z430" s="387"/>
      <c r="AA430" s="388"/>
      <c r="AB430" s="209"/>
      <c r="AC430" s="27"/>
    </row>
    <row r="431" customFormat="false" ht="26.25" hidden="false" customHeight="false" outlineLevel="0" collapsed="false">
      <c r="B431" s="24"/>
      <c r="D431" s="409" t="s">
        <v>374</v>
      </c>
      <c r="E431" s="409"/>
      <c r="F431" s="410"/>
      <c r="G431" s="410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387"/>
      <c r="Z431" s="387"/>
      <c r="AA431" s="388"/>
      <c r="AB431" s="209"/>
      <c r="AC431" s="27"/>
    </row>
    <row r="432" customFormat="false" ht="26.25" hidden="false" customHeight="false" outlineLevel="0" collapsed="false">
      <c r="B432" s="24"/>
      <c r="D432" s="409" t="s">
        <v>375</v>
      </c>
      <c r="E432" s="409"/>
      <c r="F432" s="410"/>
      <c r="G432" s="410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387"/>
      <c r="Z432" s="387"/>
      <c r="AA432" s="388"/>
      <c r="AB432" s="209"/>
      <c r="AC432" s="27"/>
    </row>
    <row r="433" customFormat="false" ht="26.25" hidden="false" customHeight="true" outlineLevel="0" collapsed="false">
      <c r="B433" s="24"/>
      <c r="D433" s="391" t="s">
        <v>376</v>
      </c>
      <c r="E433" s="391"/>
      <c r="F433" s="411" t="n">
        <f aca="false">F429+F430-F431-F432</f>
        <v>0</v>
      </c>
      <c r="G433" s="41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387"/>
      <c r="Z433" s="387"/>
      <c r="AA433" s="388"/>
      <c r="AB433" s="209"/>
      <c r="AC433" s="27"/>
    </row>
    <row r="434" customFormat="false" ht="26.25" hidden="false" customHeight="false" outlineLevel="0" collapsed="false">
      <c r="B434" s="24"/>
      <c r="D434" s="409" t="s">
        <v>382</v>
      </c>
      <c r="E434" s="409"/>
      <c r="F434" s="410"/>
      <c r="G434" s="410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387"/>
      <c r="Z434" s="387"/>
      <c r="AA434" s="388"/>
      <c r="AB434" s="209"/>
      <c r="AC434" s="27"/>
    </row>
    <row r="435" customFormat="false" ht="26.25" hidden="false" customHeight="true" outlineLevel="0" collapsed="false">
      <c r="B435" s="24" t="n">
        <f aca="false">IF(AND(F424&lt;0,F435&gt;-1000000000000),1,0)</f>
        <v>0</v>
      </c>
      <c r="C435" s="17" t="str">
        <f aca="false">IF(B435=0,"*","")</f>
        <v>*</v>
      </c>
      <c r="D435" s="412" t="s">
        <v>378</v>
      </c>
      <c r="E435" s="412"/>
      <c r="F435" s="413" t="n">
        <f aca="false">F433-F434</f>
        <v>0</v>
      </c>
      <c r="G435" s="413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387"/>
      <c r="Z435" s="387"/>
      <c r="AA435" s="388"/>
      <c r="AB435" s="209"/>
      <c r="AC435" s="27"/>
    </row>
    <row r="436" customFormat="false" ht="26.25" hidden="false" customHeight="false" outlineLevel="0" collapsed="false">
      <c r="B436" s="24"/>
      <c r="D436" s="374"/>
      <c r="E436" s="375"/>
      <c r="F436" s="375"/>
      <c r="G436" s="375"/>
      <c r="H436" s="375"/>
      <c r="I436" s="375"/>
      <c r="J436" s="375"/>
      <c r="K436" s="375"/>
      <c r="L436" s="375"/>
      <c r="M436" s="375"/>
      <c r="N436" s="375"/>
      <c r="O436" s="375"/>
      <c r="P436" s="375"/>
      <c r="Q436" s="375"/>
      <c r="R436" s="375"/>
      <c r="S436" s="375"/>
      <c r="T436" s="375"/>
      <c r="U436" s="375"/>
      <c r="V436" s="375"/>
      <c r="W436" s="375"/>
      <c r="X436" s="375"/>
      <c r="Y436" s="414"/>
      <c r="Z436" s="414"/>
      <c r="AA436" s="415"/>
      <c r="AB436" s="209"/>
      <c r="AC436" s="27"/>
    </row>
    <row r="437" customFormat="false" ht="26.25" hidden="false" customHeight="false" outlineLevel="0" collapsed="false">
      <c r="B437" s="24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317"/>
      <c r="Z437" s="317"/>
      <c r="AA437" s="317"/>
      <c r="AB437" s="209"/>
      <c r="AC437" s="27"/>
    </row>
    <row r="438" customFormat="false" ht="26.25" hidden="false" customHeight="false" outlineLevel="0" collapsed="false">
      <c r="B438" s="24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317"/>
      <c r="Z438" s="317"/>
      <c r="AA438" s="317"/>
      <c r="AB438" s="209"/>
      <c r="AC438" s="27"/>
    </row>
    <row r="439" customFormat="false" ht="27" hidden="false" customHeight="true" outlineLevel="0" collapsed="false">
      <c r="B439" s="24"/>
      <c r="D439" s="416" t="s">
        <v>383</v>
      </c>
      <c r="E439" s="416"/>
      <c r="F439" s="416"/>
      <c r="G439" s="416"/>
      <c r="H439" s="416"/>
      <c r="I439" s="416"/>
      <c r="J439" s="416"/>
      <c r="K439" s="416"/>
      <c r="L439" s="416"/>
      <c r="M439" s="416"/>
      <c r="N439" s="416"/>
      <c r="O439" s="416"/>
      <c r="P439" s="416"/>
      <c r="Q439" s="416"/>
      <c r="R439" s="416"/>
      <c r="S439" s="416"/>
      <c r="T439" s="416"/>
      <c r="U439" s="416"/>
      <c r="V439" s="416"/>
      <c r="W439" s="416"/>
      <c r="X439" s="416"/>
      <c r="Y439" s="416"/>
      <c r="Z439" s="416"/>
      <c r="AA439" s="416"/>
      <c r="AB439" s="417"/>
      <c r="AC439" s="27"/>
    </row>
    <row r="440" customFormat="false" ht="26.25" hidden="false" customHeight="true" outlineLevel="0" collapsed="false">
      <c r="B440" s="24"/>
      <c r="D440" s="418" t="s">
        <v>384</v>
      </c>
      <c r="E440" s="419" t="s">
        <v>385</v>
      </c>
      <c r="F440" s="419"/>
      <c r="G440" s="419"/>
      <c r="H440" s="419"/>
      <c r="I440" s="419"/>
      <c r="J440" s="419"/>
      <c r="K440" s="419"/>
      <c r="L440" s="419"/>
      <c r="M440" s="419"/>
      <c r="N440" s="419"/>
      <c r="O440" s="419"/>
      <c r="P440" s="419"/>
      <c r="Q440" s="419"/>
      <c r="R440" s="419"/>
      <c r="S440" s="419"/>
      <c r="T440" s="419"/>
      <c r="U440" s="419"/>
      <c r="V440" s="419"/>
      <c r="W440" s="419"/>
      <c r="X440" s="419"/>
      <c r="Y440" s="419"/>
      <c r="Z440" s="419"/>
      <c r="AA440" s="419"/>
      <c r="AB440" s="96"/>
      <c r="AC440" s="27"/>
    </row>
    <row r="441" customFormat="false" ht="26.25" hidden="false" customHeight="false" outlineLevel="0" collapsed="false">
      <c r="B441" s="24"/>
      <c r="D441" s="418"/>
      <c r="E441" s="419"/>
      <c r="F441" s="419"/>
      <c r="G441" s="419"/>
      <c r="H441" s="419"/>
      <c r="I441" s="419"/>
      <c r="J441" s="419"/>
      <c r="K441" s="419"/>
      <c r="L441" s="419"/>
      <c r="M441" s="419"/>
      <c r="N441" s="419"/>
      <c r="O441" s="419"/>
      <c r="P441" s="419"/>
      <c r="Q441" s="419"/>
      <c r="R441" s="419"/>
      <c r="S441" s="419"/>
      <c r="T441" s="419"/>
      <c r="U441" s="419"/>
      <c r="V441" s="419"/>
      <c r="W441" s="419"/>
      <c r="X441" s="419"/>
      <c r="Y441" s="419"/>
      <c r="Z441" s="419"/>
      <c r="AA441" s="419"/>
      <c r="AB441" s="96"/>
      <c r="AC441" s="27"/>
    </row>
    <row r="442" customFormat="false" ht="26.25" hidden="false" customHeight="false" outlineLevel="0" collapsed="false">
      <c r="B442" s="24"/>
      <c r="D442" s="418"/>
      <c r="E442" s="419"/>
      <c r="F442" s="419"/>
      <c r="G442" s="419"/>
      <c r="H442" s="419"/>
      <c r="I442" s="419"/>
      <c r="J442" s="419"/>
      <c r="K442" s="419"/>
      <c r="L442" s="419"/>
      <c r="M442" s="419"/>
      <c r="N442" s="419"/>
      <c r="O442" s="419"/>
      <c r="P442" s="419"/>
      <c r="Q442" s="419"/>
      <c r="R442" s="419"/>
      <c r="S442" s="419"/>
      <c r="T442" s="419"/>
      <c r="U442" s="419"/>
      <c r="V442" s="419"/>
      <c r="W442" s="419"/>
      <c r="X442" s="419"/>
      <c r="Y442" s="419"/>
      <c r="Z442" s="419"/>
      <c r="AA442" s="419"/>
      <c r="AB442" s="96"/>
      <c r="AC442" s="27"/>
    </row>
    <row r="443" customFormat="false" ht="26.25" hidden="false" customHeight="false" outlineLevel="0" collapsed="false">
      <c r="B443" s="24"/>
      <c r="AC443" s="27"/>
    </row>
    <row r="444" customFormat="false" ht="26.25" hidden="false" customHeight="false" outlineLevel="0" collapsed="false">
      <c r="B444" s="24"/>
      <c r="AC444" s="27"/>
    </row>
    <row r="445" customFormat="false" ht="26.25" hidden="false" customHeight="false" outlineLevel="0" collapsed="false">
      <c r="B445" s="24"/>
      <c r="AC445" s="27"/>
    </row>
    <row r="446" customFormat="false" ht="26.25" hidden="false" customHeight="false" outlineLevel="0" collapsed="false">
      <c r="B446" s="24"/>
      <c r="AC446" s="27"/>
    </row>
    <row r="447" customFormat="false" ht="26.25" hidden="false" customHeight="false" outlineLevel="0" collapsed="false">
      <c r="B447" s="24"/>
      <c r="AC447" s="27"/>
    </row>
    <row r="448" customFormat="false" ht="26.25" hidden="false" customHeight="false" outlineLevel="0" collapsed="false">
      <c r="B448" s="420"/>
      <c r="C448" s="421"/>
      <c r="D448" s="422"/>
      <c r="E448" s="423"/>
      <c r="F448" s="423"/>
      <c r="G448" s="423"/>
      <c r="H448" s="423"/>
      <c r="I448" s="423"/>
      <c r="J448" s="423"/>
      <c r="K448" s="423"/>
      <c r="L448" s="423"/>
      <c r="M448" s="423"/>
      <c r="N448" s="423"/>
      <c r="O448" s="423"/>
      <c r="P448" s="423"/>
      <c r="Q448" s="423"/>
      <c r="R448" s="423"/>
      <c r="S448" s="423"/>
      <c r="T448" s="423"/>
      <c r="U448" s="423"/>
      <c r="V448" s="423"/>
      <c r="W448" s="423"/>
      <c r="X448" s="423"/>
      <c r="Y448" s="423"/>
      <c r="Z448" s="423"/>
      <c r="AA448" s="423"/>
      <c r="AB448" s="423"/>
      <c r="AC448" s="424"/>
    </row>
  </sheetData>
  <mergeCells count="1087">
    <mergeCell ref="D3:AA3"/>
    <mergeCell ref="D4:S4"/>
    <mergeCell ref="E6:G6"/>
    <mergeCell ref="H6:J6"/>
    <mergeCell ref="D8:AA8"/>
    <mergeCell ref="D9:AA11"/>
    <mergeCell ref="D13:AA13"/>
    <mergeCell ref="E15:H15"/>
    <mergeCell ref="I15:M15"/>
    <mergeCell ref="N15:Q15"/>
    <mergeCell ref="R15:V15"/>
    <mergeCell ref="W15:AA15"/>
    <mergeCell ref="D31:AA31"/>
    <mergeCell ref="E32:AA32"/>
    <mergeCell ref="E33:AA33"/>
    <mergeCell ref="E34:AA34"/>
    <mergeCell ref="D35:AA35"/>
    <mergeCell ref="E36:AA36"/>
    <mergeCell ref="E37:AA37"/>
    <mergeCell ref="E38:AA38"/>
    <mergeCell ref="E39:AA39"/>
    <mergeCell ref="D43:AA43"/>
    <mergeCell ref="E44:AA44"/>
    <mergeCell ref="E45:AA45"/>
    <mergeCell ref="E46:AA46"/>
    <mergeCell ref="E47:AA47"/>
    <mergeCell ref="E48:H48"/>
    <mergeCell ref="I48:AA49"/>
    <mergeCell ref="E49:H49"/>
    <mergeCell ref="E50:H50"/>
    <mergeCell ref="E51:AA51"/>
    <mergeCell ref="D53:AA53"/>
    <mergeCell ref="E54:AA54"/>
    <mergeCell ref="E55:AA55"/>
    <mergeCell ref="E56:AA56"/>
    <mergeCell ref="E57:AA57"/>
    <mergeCell ref="E58:AA58"/>
    <mergeCell ref="E59:AA59"/>
    <mergeCell ref="D61:AA61"/>
    <mergeCell ref="D62:AA62"/>
    <mergeCell ref="E63:H63"/>
    <mergeCell ref="I63:AA63"/>
    <mergeCell ref="E64:AA64"/>
    <mergeCell ref="E65:AA65"/>
    <mergeCell ref="E66:AA66"/>
    <mergeCell ref="E67:AA67"/>
    <mergeCell ref="E68:AA68"/>
    <mergeCell ref="E69:AA69"/>
    <mergeCell ref="E70:AA70"/>
    <mergeCell ref="E71:AA71"/>
    <mergeCell ref="E72:AA72"/>
    <mergeCell ref="E73:H73"/>
    <mergeCell ref="I73:AA76"/>
    <mergeCell ref="E74:H74"/>
    <mergeCell ref="E75:H75"/>
    <mergeCell ref="E76:H76"/>
    <mergeCell ref="D78:AA78"/>
    <mergeCell ref="E79:AA79"/>
    <mergeCell ref="E80:AA80"/>
    <mergeCell ref="E81:AA81"/>
    <mergeCell ref="E82:AA82"/>
    <mergeCell ref="E83:AA83"/>
    <mergeCell ref="E84:AA84"/>
    <mergeCell ref="E85:AA85"/>
    <mergeCell ref="E86:AA86"/>
    <mergeCell ref="E87:AA87"/>
    <mergeCell ref="D89:AA89"/>
    <mergeCell ref="E90:AA90"/>
    <mergeCell ref="E91:AA91"/>
    <mergeCell ref="E92:AA92"/>
    <mergeCell ref="E93:AA93"/>
    <mergeCell ref="E94:AA94"/>
    <mergeCell ref="E95:AA95"/>
    <mergeCell ref="E96:AA96"/>
    <mergeCell ref="E97:AA97"/>
    <mergeCell ref="E98:AA98"/>
    <mergeCell ref="E99:AA99"/>
    <mergeCell ref="D101:AA101"/>
    <mergeCell ref="E102:AA102"/>
    <mergeCell ref="E103:AA103"/>
    <mergeCell ref="E104:AA104"/>
    <mergeCell ref="E105:AA105"/>
    <mergeCell ref="E106:AA106"/>
    <mergeCell ref="E107:AA107"/>
    <mergeCell ref="E108:AA108"/>
    <mergeCell ref="E109:AA109"/>
    <mergeCell ref="E110:AA110"/>
    <mergeCell ref="E111:AA111"/>
    <mergeCell ref="E112:AA112"/>
    <mergeCell ref="E113:AA113"/>
    <mergeCell ref="E114:AA114"/>
    <mergeCell ref="E115:AA115"/>
    <mergeCell ref="E116:AA116"/>
    <mergeCell ref="E117:H117"/>
    <mergeCell ref="I117:AA119"/>
    <mergeCell ref="E118:H118"/>
    <mergeCell ref="E119:H119"/>
    <mergeCell ref="D121:AA121"/>
    <mergeCell ref="E122:G122"/>
    <mergeCell ref="H122:I122"/>
    <mergeCell ref="J122:M122"/>
    <mergeCell ref="N122:O122"/>
    <mergeCell ref="Q122:R122"/>
    <mergeCell ref="S122:X122"/>
    <mergeCell ref="Y122:AA122"/>
    <mergeCell ref="E123:G123"/>
    <mergeCell ref="H123:I123"/>
    <mergeCell ref="J123:M123"/>
    <mergeCell ref="N123:O123"/>
    <mergeCell ref="Q123:R123"/>
    <mergeCell ref="S123:X123"/>
    <mergeCell ref="Y123:AA123"/>
    <mergeCell ref="E124:G124"/>
    <mergeCell ref="H124:I124"/>
    <mergeCell ref="J124:M124"/>
    <mergeCell ref="N124:O124"/>
    <mergeCell ref="Q124:R124"/>
    <mergeCell ref="S124:X124"/>
    <mergeCell ref="Y124:AA124"/>
    <mergeCell ref="E125:G125"/>
    <mergeCell ref="H125:I125"/>
    <mergeCell ref="J125:M125"/>
    <mergeCell ref="N125:O125"/>
    <mergeCell ref="Q125:R125"/>
    <mergeCell ref="S125:X125"/>
    <mergeCell ref="Y125:AA125"/>
    <mergeCell ref="D128:AA128"/>
    <mergeCell ref="E129:H129"/>
    <mergeCell ref="I129:L129"/>
    <mergeCell ref="M129:P129"/>
    <mergeCell ref="Q129:T129"/>
    <mergeCell ref="U129:X129"/>
    <mergeCell ref="Y129:AA129"/>
    <mergeCell ref="E130:H130"/>
    <mergeCell ref="I130:L130"/>
    <mergeCell ref="M130:P130"/>
    <mergeCell ref="Q130:T130"/>
    <mergeCell ref="U130:X130"/>
    <mergeCell ref="Y130:AA134"/>
    <mergeCell ref="E131:H131"/>
    <mergeCell ref="I131:L131"/>
    <mergeCell ref="M131:P131"/>
    <mergeCell ref="Q131:T131"/>
    <mergeCell ref="U131:X131"/>
    <mergeCell ref="E132:H132"/>
    <mergeCell ref="I132:L132"/>
    <mergeCell ref="M132:P132"/>
    <mergeCell ref="Q132:T132"/>
    <mergeCell ref="U132:X132"/>
    <mergeCell ref="E133:H133"/>
    <mergeCell ref="I133:L133"/>
    <mergeCell ref="M133:P133"/>
    <mergeCell ref="Q133:T133"/>
    <mergeCell ref="U133:X133"/>
    <mergeCell ref="E134:H134"/>
    <mergeCell ref="I134:L134"/>
    <mergeCell ref="M134:P134"/>
    <mergeCell ref="Q134:T134"/>
    <mergeCell ref="U134:X134"/>
    <mergeCell ref="D136:AA136"/>
    <mergeCell ref="E137:AA137"/>
    <mergeCell ref="E138:AA138"/>
    <mergeCell ref="E139:AA139"/>
    <mergeCell ref="E140:AA140"/>
    <mergeCell ref="D142:AA142"/>
    <mergeCell ref="E143:H143"/>
    <mergeCell ref="I143:L143"/>
    <mergeCell ref="M143:P143"/>
    <mergeCell ref="Q143:T143"/>
    <mergeCell ref="U143:X143"/>
    <mergeCell ref="Y143:AA143"/>
    <mergeCell ref="E144:H144"/>
    <mergeCell ref="I144:L144"/>
    <mergeCell ref="M144:P144"/>
    <mergeCell ref="Q144:T144"/>
    <mergeCell ref="U144:X144"/>
    <mergeCell ref="Y144:AA146"/>
    <mergeCell ref="E145:H145"/>
    <mergeCell ref="I145:L145"/>
    <mergeCell ref="M145:P145"/>
    <mergeCell ref="Q145:T145"/>
    <mergeCell ref="U145:X145"/>
    <mergeCell ref="E146:H146"/>
    <mergeCell ref="I146:L146"/>
    <mergeCell ref="M146:P146"/>
    <mergeCell ref="Q146:T146"/>
    <mergeCell ref="U146:X146"/>
    <mergeCell ref="D148:AA148"/>
    <mergeCell ref="E149:H149"/>
    <mergeCell ref="I149:L149"/>
    <mergeCell ref="M149:P149"/>
    <mergeCell ref="Q149:T149"/>
    <mergeCell ref="U149:X149"/>
    <mergeCell ref="Y149:AA149"/>
    <mergeCell ref="E150:H150"/>
    <mergeCell ref="I150:L150"/>
    <mergeCell ref="M150:P150"/>
    <mergeCell ref="Q150:T150"/>
    <mergeCell ref="U150:X150"/>
    <mergeCell ref="Y150:AA151"/>
    <mergeCell ref="E151:H151"/>
    <mergeCell ref="I151:L151"/>
    <mergeCell ref="M151:P151"/>
    <mergeCell ref="Q151:T151"/>
    <mergeCell ref="U151:X151"/>
    <mergeCell ref="D153:AA153"/>
    <mergeCell ref="E154:H154"/>
    <mergeCell ref="I154:L154"/>
    <mergeCell ref="M154:P154"/>
    <mergeCell ref="Q154:T154"/>
    <mergeCell ref="U154:X154"/>
    <mergeCell ref="Y154:AA154"/>
    <mergeCell ref="E155:H155"/>
    <mergeCell ref="I155:L155"/>
    <mergeCell ref="M155:P155"/>
    <mergeCell ref="Q155:T155"/>
    <mergeCell ref="U155:X155"/>
    <mergeCell ref="Y155:AA157"/>
    <mergeCell ref="E156:H156"/>
    <mergeCell ref="I156:L156"/>
    <mergeCell ref="M156:P156"/>
    <mergeCell ref="Q156:T156"/>
    <mergeCell ref="U156:X156"/>
    <mergeCell ref="E157:H157"/>
    <mergeCell ref="I157:L157"/>
    <mergeCell ref="M157:P157"/>
    <mergeCell ref="Q157:T157"/>
    <mergeCell ref="U157:X157"/>
    <mergeCell ref="D158:X158"/>
    <mergeCell ref="D161:AA161"/>
    <mergeCell ref="E162:H162"/>
    <mergeCell ref="I162:AA163"/>
    <mergeCell ref="E163:H163"/>
    <mergeCell ref="E164:AA164"/>
    <mergeCell ref="E165:H165"/>
    <mergeCell ref="I165:AA170"/>
    <mergeCell ref="E166:H166"/>
    <mergeCell ref="E167:H167"/>
    <mergeCell ref="E168:H168"/>
    <mergeCell ref="E169:H169"/>
    <mergeCell ref="E170:H170"/>
    <mergeCell ref="D171:AA171"/>
    <mergeCell ref="D172:AA172"/>
    <mergeCell ref="E173:AA173"/>
    <mergeCell ref="E174:AA174"/>
    <mergeCell ref="E175:AA175"/>
    <mergeCell ref="E176:AA176"/>
    <mergeCell ref="E177:AA177"/>
    <mergeCell ref="E178:AA178"/>
    <mergeCell ref="E179:AA179"/>
    <mergeCell ref="E180:AA180"/>
    <mergeCell ref="E181:AA181"/>
    <mergeCell ref="E182:AA182"/>
    <mergeCell ref="E183:H183"/>
    <mergeCell ref="I183:AA184"/>
    <mergeCell ref="E184:H184"/>
    <mergeCell ref="D186:AA186"/>
    <mergeCell ref="E187:H187"/>
    <mergeCell ref="I187:L187"/>
    <mergeCell ref="M187:P187"/>
    <mergeCell ref="Q187:T187"/>
    <mergeCell ref="U187:X187"/>
    <mergeCell ref="Y187:AA187"/>
    <mergeCell ref="E188:H188"/>
    <mergeCell ref="I188:L188"/>
    <mergeCell ref="M188:P188"/>
    <mergeCell ref="Q188:T188"/>
    <mergeCell ref="U188:X188"/>
    <mergeCell ref="Y188:AA188"/>
    <mergeCell ref="E189:H189"/>
    <mergeCell ref="I189:L189"/>
    <mergeCell ref="M189:P189"/>
    <mergeCell ref="Q189:T189"/>
    <mergeCell ref="U189:X189"/>
    <mergeCell ref="Y189:AA189"/>
    <mergeCell ref="E190:H190"/>
    <mergeCell ref="I190:L190"/>
    <mergeCell ref="M190:P190"/>
    <mergeCell ref="Q190:T190"/>
    <mergeCell ref="U190:X190"/>
    <mergeCell ref="Y190:AA190"/>
    <mergeCell ref="E191:H191"/>
    <mergeCell ref="I191:L191"/>
    <mergeCell ref="M191:P191"/>
    <mergeCell ref="Q191:T191"/>
    <mergeCell ref="U191:X191"/>
    <mergeCell ref="Y191:AA191"/>
    <mergeCell ref="E192:H192"/>
    <mergeCell ref="I192:L192"/>
    <mergeCell ref="M192:P192"/>
    <mergeCell ref="Q192:T192"/>
    <mergeCell ref="U192:X192"/>
    <mergeCell ref="Y192:AA192"/>
    <mergeCell ref="E193:H193"/>
    <mergeCell ref="I193:L193"/>
    <mergeCell ref="M193:P193"/>
    <mergeCell ref="Q193:T193"/>
    <mergeCell ref="U193:X193"/>
    <mergeCell ref="Y193:AA193"/>
    <mergeCell ref="E194:H194"/>
    <mergeCell ref="I194:L194"/>
    <mergeCell ref="M194:P194"/>
    <mergeCell ref="Q194:T194"/>
    <mergeCell ref="U194:X194"/>
    <mergeCell ref="Y194:AA194"/>
    <mergeCell ref="E195:H195"/>
    <mergeCell ref="I195:L195"/>
    <mergeCell ref="M195:P195"/>
    <mergeCell ref="Q195:T195"/>
    <mergeCell ref="U195:X195"/>
    <mergeCell ref="Y195:AA195"/>
    <mergeCell ref="E196:H196"/>
    <mergeCell ref="I196:L196"/>
    <mergeCell ref="M196:P196"/>
    <mergeCell ref="Q196:T196"/>
    <mergeCell ref="U196:X196"/>
    <mergeCell ref="Y196:AA196"/>
    <mergeCell ref="E197:H197"/>
    <mergeCell ref="I197:L197"/>
    <mergeCell ref="M197:P197"/>
    <mergeCell ref="Q197:T197"/>
    <mergeCell ref="U197:X197"/>
    <mergeCell ref="Y197:AA197"/>
    <mergeCell ref="E198:H198"/>
    <mergeCell ref="I198:L198"/>
    <mergeCell ref="M198:P198"/>
    <mergeCell ref="Q198:T198"/>
    <mergeCell ref="U198:X198"/>
    <mergeCell ref="Y198:AA198"/>
    <mergeCell ref="E199:H199"/>
    <mergeCell ref="I199:L199"/>
    <mergeCell ref="M199:P199"/>
    <mergeCell ref="Q199:T199"/>
    <mergeCell ref="U199:X199"/>
    <mergeCell ref="Y199:AA199"/>
    <mergeCell ref="E200:H200"/>
    <mergeCell ref="I200:L200"/>
    <mergeCell ref="M200:P200"/>
    <mergeCell ref="Q200:T200"/>
    <mergeCell ref="U200:X200"/>
    <mergeCell ref="Y200:AA200"/>
    <mergeCell ref="E201:H201"/>
    <mergeCell ref="I201:L201"/>
    <mergeCell ref="M201:P201"/>
    <mergeCell ref="Q201:T201"/>
    <mergeCell ref="U201:X201"/>
    <mergeCell ref="Y201:AA201"/>
    <mergeCell ref="E202:H202"/>
    <mergeCell ref="I202:L202"/>
    <mergeCell ref="M202:P202"/>
    <mergeCell ref="Q202:T202"/>
    <mergeCell ref="U202:X202"/>
    <mergeCell ref="Y202:AA202"/>
    <mergeCell ref="D204:AA204"/>
    <mergeCell ref="E205:H205"/>
    <mergeCell ref="I205:L205"/>
    <mergeCell ref="M205:P205"/>
    <mergeCell ref="Q205:T205"/>
    <mergeCell ref="U205:X205"/>
    <mergeCell ref="Y205:AA205"/>
    <mergeCell ref="E206:H206"/>
    <mergeCell ref="I206:L206"/>
    <mergeCell ref="M206:P206"/>
    <mergeCell ref="Q206:T206"/>
    <mergeCell ref="U206:X206"/>
    <mergeCell ref="Y206:AA206"/>
    <mergeCell ref="E207:H207"/>
    <mergeCell ref="I207:L207"/>
    <mergeCell ref="M207:P207"/>
    <mergeCell ref="Q207:T207"/>
    <mergeCell ref="U207:X207"/>
    <mergeCell ref="Y207:AA207"/>
    <mergeCell ref="E208:H208"/>
    <mergeCell ref="I208:L208"/>
    <mergeCell ref="M208:P208"/>
    <mergeCell ref="Q208:T208"/>
    <mergeCell ref="U208:X208"/>
    <mergeCell ref="Y208:AA208"/>
    <mergeCell ref="E209:H209"/>
    <mergeCell ref="I209:L209"/>
    <mergeCell ref="M209:P209"/>
    <mergeCell ref="Q209:T209"/>
    <mergeCell ref="U209:X209"/>
    <mergeCell ref="Y209:AA209"/>
    <mergeCell ref="E210:H210"/>
    <mergeCell ref="I210:L210"/>
    <mergeCell ref="M210:P210"/>
    <mergeCell ref="Q210:T210"/>
    <mergeCell ref="U210:X210"/>
    <mergeCell ref="Y210:AA210"/>
    <mergeCell ref="E211:H211"/>
    <mergeCell ref="I211:L211"/>
    <mergeCell ref="M211:P211"/>
    <mergeCell ref="Q211:T211"/>
    <mergeCell ref="U211:X211"/>
    <mergeCell ref="Y211:AA211"/>
    <mergeCell ref="E212:H212"/>
    <mergeCell ref="I212:L212"/>
    <mergeCell ref="M212:P212"/>
    <mergeCell ref="Q212:T212"/>
    <mergeCell ref="U212:X212"/>
    <mergeCell ref="Y212:AA212"/>
    <mergeCell ref="E213:H213"/>
    <mergeCell ref="I213:L213"/>
    <mergeCell ref="M213:P213"/>
    <mergeCell ref="Q213:T213"/>
    <mergeCell ref="U213:X213"/>
    <mergeCell ref="Y213:AA213"/>
    <mergeCell ref="E214:H214"/>
    <mergeCell ref="I214:L214"/>
    <mergeCell ref="M214:P214"/>
    <mergeCell ref="Q214:T214"/>
    <mergeCell ref="U214:X214"/>
    <mergeCell ref="Y214:AA214"/>
    <mergeCell ref="E215:H215"/>
    <mergeCell ref="I215:L215"/>
    <mergeCell ref="M215:P215"/>
    <mergeCell ref="Q215:T215"/>
    <mergeCell ref="U215:X215"/>
    <mergeCell ref="Y215:AA215"/>
    <mergeCell ref="E216:H216"/>
    <mergeCell ref="I216:L216"/>
    <mergeCell ref="M216:P216"/>
    <mergeCell ref="Q216:T216"/>
    <mergeCell ref="U216:X216"/>
    <mergeCell ref="Y216:AA216"/>
    <mergeCell ref="E217:H217"/>
    <mergeCell ref="I217:L217"/>
    <mergeCell ref="M217:P217"/>
    <mergeCell ref="Q217:T217"/>
    <mergeCell ref="U217:X217"/>
    <mergeCell ref="Y217:AA217"/>
    <mergeCell ref="E218:H218"/>
    <mergeCell ref="I218:L218"/>
    <mergeCell ref="M218:P218"/>
    <mergeCell ref="Q218:T218"/>
    <mergeCell ref="U218:X218"/>
    <mergeCell ref="Y218:AA218"/>
    <mergeCell ref="E219:H219"/>
    <mergeCell ref="I219:L219"/>
    <mergeCell ref="M219:P219"/>
    <mergeCell ref="Q219:T219"/>
    <mergeCell ref="U219:X219"/>
    <mergeCell ref="Y219:AA219"/>
    <mergeCell ref="D221:AA221"/>
    <mergeCell ref="E222:H222"/>
    <mergeCell ref="I222:L222"/>
    <mergeCell ref="M222:P222"/>
    <mergeCell ref="Q222:T222"/>
    <mergeCell ref="U222:X222"/>
    <mergeCell ref="Y222:AA222"/>
    <mergeCell ref="E223:H223"/>
    <mergeCell ref="I223:L223"/>
    <mergeCell ref="M223:P223"/>
    <mergeCell ref="Q223:T223"/>
    <mergeCell ref="U223:X223"/>
    <mergeCell ref="Y223:AA223"/>
    <mergeCell ref="E224:H224"/>
    <mergeCell ref="I224:L224"/>
    <mergeCell ref="M224:P224"/>
    <mergeCell ref="Q224:T224"/>
    <mergeCell ref="U224:X224"/>
    <mergeCell ref="Y224:AA224"/>
    <mergeCell ref="E225:H225"/>
    <mergeCell ref="I225:L225"/>
    <mergeCell ref="M225:P225"/>
    <mergeCell ref="Q225:T225"/>
    <mergeCell ref="U225:X225"/>
    <mergeCell ref="Y225:AA225"/>
    <mergeCell ref="E226:H226"/>
    <mergeCell ref="I226:L226"/>
    <mergeCell ref="M226:P226"/>
    <mergeCell ref="Q226:T226"/>
    <mergeCell ref="U226:X226"/>
    <mergeCell ref="Y226:AA226"/>
    <mergeCell ref="E227:H227"/>
    <mergeCell ref="I227:L227"/>
    <mergeCell ref="M227:P227"/>
    <mergeCell ref="Q227:T227"/>
    <mergeCell ref="U227:X227"/>
    <mergeCell ref="Y227:AA227"/>
    <mergeCell ref="D229:AA229"/>
    <mergeCell ref="E230:AA230"/>
    <mergeCell ref="E231:H231"/>
    <mergeCell ref="I231:AA232"/>
    <mergeCell ref="E232:H232"/>
    <mergeCell ref="D234:AA234"/>
    <mergeCell ref="E235:H235"/>
    <mergeCell ref="I235:L235"/>
    <mergeCell ref="M235:P235"/>
    <mergeCell ref="Q235:T235"/>
    <mergeCell ref="U235:X235"/>
    <mergeCell ref="Y235:AA244"/>
    <mergeCell ref="E236:H236"/>
    <mergeCell ref="I236:L236"/>
    <mergeCell ref="M236:P236"/>
    <mergeCell ref="Q236:T236"/>
    <mergeCell ref="U236:X236"/>
    <mergeCell ref="E237:H237"/>
    <mergeCell ref="I237:L237"/>
    <mergeCell ref="M237:P237"/>
    <mergeCell ref="Q237:T237"/>
    <mergeCell ref="U237:X237"/>
    <mergeCell ref="E238:H238"/>
    <mergeCell ref="I238:L238"/>
    <mergeCell ref="M238:P238"/>
    <mergeCell ref="Q238:T238"/>
    <mergeCell ref="U238:X238"/>
    <mergeCell ref="E239:H239"/>
    <mergeCell ref="I239:L239"/>
    <mergeCell ref="M239:P239"/>
    <mergeCell ref="Q239:T239"/>
    <mergeCell ref="U239:X239"/>
    <mergeCell ref="E240:H240"/>
    <mergeCell ref="I240:L240"/>
    <mergeCell ref="M240:P240"/>
    <mergeCell ref="Q240:T240"/>
    <mergeCell ref="U240:X240"/>
    <mergeCell ref="E241:H241"/>
    <mergeCell ref="I241:L241"/>
    <mergeCell ref="M241:P241"/>
    <mergeCell ref="Q241:T241"/>
    <mergeCell ref="U241:X241"/>
    <mergeCell ref="E242:H242"/>
    <mergeCell ref="I242:L242"/>
    <mergeCell ref="M242:P242"/>
    <mergeCell ref="Q242:T242"/>
    <mergeCell ref="U242:X242"/>
    <mergeCell ref="E243:H243"/>
    <mergeCell ref="I243:L243"/>
    <mergeCell ref="M243:P243"/>
    <mergeCell ref="Q243:T243"/>
    <mergeCell ref="U243:X243"/>
    <mergeCell ref="E244:H244"/>
    <mergeCell ref="I244:L244"/>
    <mergeCell ref="M244:P244"/>
    <mergeCell ref="Q244:T244"/>
    <mergeCell ref="U244:X244"/>
    <mergeCell ref="D246:AA246"/>
    <mergeCell ref="E247:AA247"/>
    <mergeCell ref="E248:H248"/>
    <mergeCell ref="I248:AA248"/>
    <mergeCell ref="E249:AA249"/>
    <mergeCell ref="D251:AA251"/>
    <mergeCell ref="E252:AA252"/>
    <mergeCell ref="D253:H253"/>
    <mergeCell ref="I253:AA257"/>
    <mergeCell ref="E254:H254"/>
    <mergeCell ref="E255:H255"/>
    <mergeCell ref="E256:H256"/>
    <mergeCell ref="E257:H257"/>
    <mergeCell ref="E258:AA258"/>
    <mergeCell ref="E259:AA259"/>
    <mergeCell ref="E260:H260"/>
    <mergeCell ref="I260:AA261"/>
    <mergeCell ref="E261:H261"/>
    <mergeCell ref="D263:AA263"/>
    <mergeCell ref="E264:H264"/>
    <mergeCell ref="I264:L264"/>
    <mergeCell ref="M264:P264"/>
    <mergeCell ref="Q264:T264"/>
    <mergeCell ref="U264:X264"/>
    <mergeCell ref="Y264:AA268"/>
    <mergeCell ref="E265:H265"/>
    <mergeCell ref="I265:L265"/>
    <mergeCell ref="M265:P265"/>
    <mergeCell ref="Q265:T265"/>
    <mergeCell ref="U265:X265"/>
    <mergeCell ref="E266:H266"/>
    <mergeCell ref="I266:L266"/>
    <mergeCell ref="M266:P266"/>
    <mergeCell ref="Q266:T266"/>
    <mergeCell ref="U266:X266"/>
    <mergeCell ref="E267:H267"/>
    <mergeCell ref="I267:L267"/>
    <mergeCell ref="M267:P267"/>
    <mergeCell ref="Q267:T267"/>
    <mergeCell ref="U267:X267"/>
    <mergeCell ref="E268:H268"/>
    <mergeCell ref="I268:L268"/>
    <mergeCell ref="M268:P268"/>
    <mergeCell ref="Q268:T268"/>
    <mergeCell ref="U268:X268"/>
    <mergeCell ref="D269:AA269"/>
    <mergeCell ref="D270:AA270"/>
    <mergeCell ref="E271:H271"/>
    <mergeCell ref="I271:L271"/>
    <mergeCell ref="M271:P271"/>
    <mergeCell ref="Q271:T271"/>
    <mergeCell ref="U271:X271"/>
    <mergeCell ref="Y271:AA271"/>
    <mergeCell ref="E272:H272"/>
    <mergeCell ref="I272:L272"/>
    <mergeCell ref="M272:P272"/>
    <mergeCell ref="Q272:T272"/>
    <mergeCell ref="U272:X272"/>
    <mergeCell ref="Y272:AA273"/>
    <mergeCell ref="E273:H273"/>
    <mergeCell ref="I273:L273"/>
    <mergeCell ref="M273:P273"/>
    <mergeCell ref="Q273:T273"/>
    <mergeCell ref="U273:X273"/>
    <mergeCell ref="D274:AA274"/>
    <mergeCell ref="C275:C276"/>
    <mergeCell ref="D275:D276"/>
    <mergeCell ref="E275:AA276"/>
    <mergeCell ref="C277:C278"/>
    <mergeCell ref="D277:D278"/>
    <mergeCell ref="E277:AA278"/>
    <mergeCell ref="D280:AA280"/>
    <mergeCell ref="D281:H281"/>
    <mergeCell ref="I281:AA293"/>
    <mergeCell ref="E282:H282"/>
    <mergeCell ref="E283:H283"/>
    <mergeCell ref="E284:H284"/>
    <mergeCell ref="E285:H285"/>
    <mergeCell ref="E286:H286"/>
    <mergeCell ref="E287:H287"/>
    <mergeCell ref="E288:H288"/>
    <mergeCell ref="E289:H289"/>
    <mergeCell ref="E290:H290"/>
    <mergeCell ref="E291:H291"/>
    <mergeCell ref="E292:H292"/>
    <mergeCell ref="E293:H293"/>
    <mergeCell ref="D295:AA295"/>
    <mergeCell ref="E296:H296"/>
    <mergeCell ref="I296:L296"/>
    <mergeCell ref="M296:P296"/>
    <mergeCell ref="Q296:T296"/>
    <mergeCell ref="U296:X296"/>
    <mergeCell ref="Y296:AA300"/>
    <mergeCell ref="E297:H297"/>
    <mergeCell ref="I297:L297"/>
    <mergeCell ref="M297:P297"/>
    <mergeCell ref="Q297:T297"/>
    <mergeCell ref="U297:X297"/>
    <mergeCell ref="E298:H298"/>
    <mergeCell ref="I298:L298"/>
    <mergeCell ref="M298:P298"/>
    <mergeCell ref="Q298:T298"/>
    <mergeCell ref="U298:X298"/>
    <mergeCell ref="E299:H299"/>
    <mergeCell ref="I299:L299"/>
    <mergeCell ref="M299:P299"/>
    <mergeCell ref="Q299:T299"/>
    <mergeCell ref="U299:X299"/>
    <mergeCell ref="E300:H300"/>
    <mergeCell ref="I300:L300"/>
    <mergeCell ref="M300:P300"/>
    <mergeCell ref="Q300:T300"/>
    <mergeCell ref="U300:X300"/>
    <mergeCell ref="D303:AA303"/>
    <mergeCell ref="D304:L313"/>
    <mergeCell ref="M304:Q304"/>
    <mergeCell ref="R304:AA304"/>
    <mergeCell ref="M305:AA305"/>
    <mergeCell ref="M306:P306"/>
    <mergeCell ref="Q306:AA306"/>
    <mergeCell ref="Q307:AA307"/>
    <mergeCell ref="M308:P308"/>
    <mergeCell ref="Q308:AA308"/>
    <mergeCell ref="M309:P309"/>
    <mergeCell ref="Q309:AA309"/>
    <mergeCell ref="M310:P310"/>
    <mergeCell ref="Q310:AA310"/>
    <mergeCell ref="M311:P311"/>
    <mergeCell ref="Q311:AA311"/>
    <mergeCell ref="M312:P312"/>
    <mergeCell ref="Q312:AA312"/>
    <mergeCell ref="M313:P313"/>
    <mergeCell ref="Q313:AA313"/>
    <mergeCell ref="D314:H314"/>
    <mergeCell ref="I314:V316"/>
    <mergeCell ref="W314:X314"/>
    <mergeCell ref="Y314:AA314"/>
    <mergeCell ref="E315:H315"/>
    <mergeCell ref="E316:H316"/>
    <mergeCell ref="E317:AA317"/>
    <mergeCell ref="D318:D319"/>
    <mergeCell ref="E318:H318"/>
    <mergeCell ref="I318:AA319"/>
    <mergeCell ref="E319:H319"/>
    <mergeCell ref="E320:AA320"/>
    <mergeCell ref="E321:AA321"/>
    <mergeCell ref="D322:AA322"/>
    <mergeCell ref="E323:H323"/>
    <mergeCell ref="I323:L323"/>
    <mergeCell ref="M323:P323"/>
    <mergeCell ref="Q323:T323"/>
    <mergeCell ref="U323:X323"/>
    <mergeCell ref="Y323:AA325"/>
    <mergeCell ref="E324:H324"/>
    <mergeCell ref="I324:L324"/>
    <mergeCell ref="M324:P324"/>
    <mergeCell ref="Q324:T324"/>
    <mergeCell ref="U324:X324"/>
    <mergeCell ref="E325:H325"/>
    <mergeCell ref="I325:L325"/>
    <mergeCell ref="M325:P325"/>
    <mergeCell ref="Q325:T325"/>
    <mergeCell ref="U325:X325"/>
    <mergeCell ref="D327:AA327"/>
    <mergeCell ref="E328:H328"/>
    <mergeCell ref="I328:L328"/>
    <mergeCell ref="M328:P328"/>
    <mergeCell ref="Q328:T328"/>
    <mergeCell ref="U328:X328"/>
    <mergeCell ref="E329:AA329"/>
    <mergeCell ref="E330:AA330"/>
    <mergeCell ref="D332:AA332"/>
    <mergeCell ref="E333:H333"/>
    <mergeCell ref="I333:L333"/>
    <mergeCell ref="M333:P333"/>
    <mergeCell ref="Q333:T333"/>
    <mergeCell ref="U333:X333"/>
    <mergeCell ref="Y333:AA336"/>
    <mergeCell ref="E334:H334"/>
    <mergeCell ref="I334:L334"/>
    <mergeCell ref="M334:P334"/>
    <mergeCell ref="Q334:T334"/>
    <mergeCell ref="U334:X334"/>
    <mergeCell ref="E335:H335"/>
    <mergeCell ref="I335:L335"/>
    <mergeCell ref="M335:P335"/>
    <mergeCell ref="Q335:T335"/>
    <mergeCell ref="U335:X335"/>
    <mergeCell ref="E336:H336"/>
    <mergeCell ref="I336:L336"/>
    <mergeCell ref="M336:P336"/>
    <mergeCell ref="Q336:T336"/>
    <mergeCell ref="U336:X336"/>
    <mergeCell ref="D338:AA338"/>
    <mergeCell ref="D339:AA339"/>
    <mergeCell ref="E340:H340"/>
    <mergeCell ref="E341:H341"/>
    <mergeCell ref="D342:AA342"/>
    <mergeCell ref="E343:P343"/>
    <mergeCell ref="Q343:AA343"/>
    <mergeCell ref="E344:G344"/>
    <mergeCell ref="H344:J344"/>
    <mergeCell ref="K344:M344"/>
    <mergeCell ref="N344:R344"/>
    <mergeCell ref="S344:U344"/>
    <mergeCell ref="V344:X344"/>
    <mergeCell ref="Y344:AA344"/>
    <mergeCell ref="E345:G345"/>
    <mergeCell ref="H345:J345"/>
    <mergeCell ref="K345:M345"/>
    <mergeCell ref="N345:R345"/>
    <mergeCell ref="S345:U345"/>
    <mergeCell ref="V345:X345"/>
    <mergeCell ref="Y345:AA345"/>
    <mergeCell ref="E346:G346"/>
    <mergeCell ref="H346:J346"/>
    <mergeCell ref="K346:M346"/>
    <mergeCell ref="N346:R346"/>
    <mergeCell ref="S346:U346"/>
    <mergeCell ref="V346:X346"/>
    <mergeCell ref="Y346:AA346"/>
    <mergeCell ref="E347:G347"/>
    <mergeCell ref="H347:J347"/>
    <mergeCell ref="K347:M347"/>
    <mergeCell ref="N347:R347"/>
    <mergeCell ref="S347:U347"/>
    <mergeCell ref="V347:X347"/>
    <mergeCell ref="Y347:AA347"/>
    <mergeCell ref="E348:G348"/>
    <mergeCell ref="H348:J348"/>
    <mergeCell ref="K348:M348"/>
    <mergeCell ref="N348:R348"/>
    <mergeCell ref="S348:U348"/>
    <mergeCell ref="V348:X348"/>
    <mergeCell ref="Y348:AA348"/>
    <mergeCell ref="E349:G349"/>
    <mergeCell ref="H349:J349"/>
    <mergeCell ref="K349:M349"/>
    <mergeCell ref="N349:R349"/>
    <mergeCell ref="S349:U349"/>
    <mergeCell ref="V349:X349"/>
    <mergeCell ref="Y349:AA349"/>
    <mergeCell ref="E350:G350"/>
    <mergeCell ref="H350:J350"/>
    <mergeCell ref="K350:M350"/>
    <mergeCell ref="N350:R350"/>
    <mergeCell ref="S350:U350"/>
    <mergeCell ref="V350:X350"/>
    <mergeCell ref="Y350:AA350"/>
    <mergeCell ref="E351:G351"/>
    <mergeCell ref="H351:J351"/>
    <mergeCell ref="K351:M351"/>
    <mergeCell ref="N351:R351"/>
    <mergeCell ref="S351:U351"/>
    <mergeCell ref="V351:X351"/>
    <mergeCell ref="Y351:AA351"/>
    <mergeCell ref="E352:G352"/>
    <mergeCell ref="H352:J352"/>
    <mergeCell ref="K352:M352"/>
    <mergeCell ref="N352:R352"/>
    <mergeCell ref="S352:U352"/>
    <mergeCell ref="V352:X352"/>
    <mergeCell ref="Y352:AA352"/>
    <mergeCell ref="E353:G353"/>
    <mergeCell ref="H353:J353"/>
    <mergeCell ref="K353:M353"/>
    <mergeCell ref="N353:R353"/>
    <mergeCell ref="S353:U353"/>
    <mergeCell ref="V353:X353"/>
    <mergeCell ref="Y353:AA353"/>
    <mergeCell ref="E354:G354"/>
    <mergeCell ref="H354:J354"/>
    <mergeCell ref="K354:M354"/>
    <mergeCell ref="N354:R354"/>
    <mergeCell ref="S354:U354"/>
    <mergeCell ref="V354:X354"/>
    <mergeCell ref="Y354:AA354"/>
    <mergeCell ref="E355:G355"/>
    <mergeCell ref="H355:J355"/>
    <mergeCell ref="K355:M355"/>
    <mergeCell ref="N355:R355"/>
    <mergeCell ref="S355:U355"/>
    <mergeCell ref="V355:X355"/>
    <mergeCell ref="Y355:AA355"/>
    <mergeCell ref="E356:G356"/>
    <mergeCell ref="H356:J356"/>
    <mergeCell ref="K356:M356"/>
    <mergeCell ref="N356:R356"/>
    <mergeCell ref="S356:U356"/>
    <mergeCell ref="V356:X356"/>
    <mergeCell ref="Y356:AA356"/>
    <mergeCell ref="E357:G357"/>
    <mergeCell ref="H357:J357"/>
    <mergeCell ref="K357:M357"/>
    <mergeCell ref="N357:R357"/>
    <mergeCell ref="S357:U357"/>
    <mergeCell ref="V357:X357"/>
    <mergeCell ref="Y357:AA357"/>
    <mergeCell ref="E358:G358"/>
    <mergeCell ref="H358:J358"/>
    <mergeCell ref="K358:M358"/>
    <mergeCell ref="N358:R358"/>
    <mergeCell ref="S358:U358"/>
    <mergeCell ref="V358:X358"/>
    <mergeCell ref="Y358:AA358"/>
    <mergeCell ref="E359:G359"/>
    <mergeCell ref="H359:J359"/>
    <mergeCell ref="K359:M359"/>
    <mergeCell ref="N359:R359"/>
    <mergeCell ref="S359:U359"/>
    <mergeCell ref="V359:X359"/>
    <mergeCell ref="Y359:AA359"/>
    <mergeCell ref="E360:G360"/>
    <mergeCell ref="H360:J360"/>
    <mergeCell ref="K360:M360"/>
    <mergeCell ref="N360:R360"/>
    <mergeCell ref="S360:U360"/>
    <mergeCell ref="V360:X360"/>
    <mergeCell ref="Y360:AA360"/>
    <mergeCell ref="E361:G361"/>
    <mergeCell ref="H361:J361"/>
    <mergeCell ref="K361:M361"/>
    <mergeCell ref="N361:R361"/>
    <mergeCell ref="S361:U361"/>
    <mergeCell ref="V361:X361"/>
    <mergeCell ref="Y361:AA361"/>
    <mergeCell ref="E362:G362"/>
    <mergeCell ref="H362:J362"/>
    <mergeCell ref="K362:M362"/>
    <mergeCell ref="N362:R362"/>
    <mergeCell ref="S362:U362"/>
    <mergeCell ref="V362:X362"/>
    <mergeCell ref="Y362:AA362"/>
    <mergeCell ref="E363:G363"/>
    <mergeCell ref="H363:J363"/>
    <mergeCell ref="K363:M363"/>
    <mergeCell ref="N363:R363"/>
    <mergeCell ref="S363:U363"/>
    <mergeCell ref="V363:X363"/>
    <mergeCell ref="Y363:AA363"/>
    <mergeCell ref="E364:G364"/>
    <mergeCell ref="H364:J364"/>
    <mergeCell ref="K364:M364"/>
    <mergeCell ref="N364:R364"/>
    <mergeCell ref="S364:U364"/>
    <mergeCell ref="V364:X364"/>
    <mergeCell ref="Y364:AA364"/>
    <mergeCell ref="E365:G365"/>
    <mergeCell ref="H365:J365"/>
    <mergeCell ref="K365:M365"/>
    <mergeCell ref="N365:R365"/>
    <mergeCell ref="S365:U365"/>
    <mergeCell ref="V365:X365"/>
    <mergeCell ref="Y365:AA365"/>
    <mergeCell ref="E366:G366"/>
    <mergeCell ref="H366:J366"/>
    <mergeCell ref="K366:M366"/>
    <mergeCell ref="N366:R366"/>
    <mergeCell ref="S366:U366"/>
    <mergeCell ref="V366:X366"/>
    <mergeCell ref="Y366:AA366"/>
    <mergeCell ref="E367:G367"/>
    <mergeCell ref="H367:J367"/>
    <mergeCell ref="K367:M367"/>
    <mergeCell ref="N367:R367"/>
    <mergeCell ref="S367:U367"/>
    <mergeCell ref="V367:X367"/>
    <mergeCell ref="Y367:AA367"/>
    <mergeCell ref="E368:G368"/>
    <mergeCell ref="H368:J368"/>
    <mergeCell ref="K368:M368"/>
    <mergeCell ref="N368:R368"/>
    <mergeCell ref="S368:U368"/>
    <mergeCell ref="V368:X368"/>
    <mergeCell ref="Y368:AA368"/>
    <mergeCell ref="E369:G369"/>
    <mergeCell ref="H369:J369"/>
    <mergeCell ref="K369:M369"/>
    <mergeCell ref="N369:AA369"/>
    <mergeCell ref="D372:K372"/>
    <mergeCell ref="D373:E373"/>
    <mergeCell ref="F373:G373"/>
    <mergeCell ref="H373:I373"/>
    <mergeCell ref="J373:K373"/>
    <mergeCell ref="D374:E374"/>
    <mergeCell ref="F374:G374"/>
    <mergeCell ref="H374:I374"/>
    <mergeCell ref="J374:K374"/>
    <mergeCell ref="D375:E375"/>
    <mergeCell ref="F375:G375"/>
    <mergeCell ref="H375:I375"/>
    <mergeCell ref="J375:K375"/>
    <mergeCell ref="D376:E376"/>
    <mergeCell ref="F376:G376"/>
    <mergeCell ref="H376:I376"/>
    <mergeCell ref="J376:K376"/>
    <mergeCell ref="D377:E377"/>
    <mergeCell ref="F377:G377"/>
    <mergeCell ref="H377:I377"/>
    <mergeCell ref="J377:K377"/>
    <mergeCell ref="D378:E378"/>
    <mergeCell ref="F378:G378"/>
    <mergeCell ref="H378:I378"/>
    <mergeCell ref="J378:K378"/>
    <mergeCell ref="D379:E379"/>
    <mergeCell ref="F379:G379"/>
    <mergeCell ref="H379:I379"/>
    <mergeCell ref="J379:K379"/>
    <mergeCell ref="D380:E380"/>
    <mergeCell ref="F380:G380"/>
    <mergeCell ref="H380:I380"/>
    <mergeCell ref="J380:K380"/>
    <mergeCell ref="D381:E381"/>
    <mergeCell ref="F381:G381"/>
    <mergeCell ref="H381:I381"/>
    <mergeCell ref="J381:K381"/>
    <mergeCell ref="D382:E382"/>
    <mergeCell ref="F382:G382"/>
    <mergeCell ref="H382:I382"/>
    <mergeCell ref="J382:K382"/>
    <mergeCell ref="D383:E383"/>
    <mergeCell ref="F383:G383"/>
    <mergeCell ref="H383:I383"/>
    <mergeCell ref="J383:K383"/>
    <mergeCell ref="D384:E384"/>
    <mergeCell ref="F384:G384"/>
    <mergeCell ref="H384:I384"/>
    <mergeCell ref="J384:K384"/>
    <mergeCell ref="D385:E385"/>
    <mergeCell ref="F385:G385"/>
    <mergeCell ref="H385:I385"/>
    <mergeCell ref="J385:K385"/>
    <mergeCell ref="D388:AA388"/>
    <mergeCell ref="D389:AA389"/>
    <mergeCell ref="E390:F390"/>
    <mergeCell ref="G390:I390"/>
    <mergeCell ref="J390:L390"/>
    <mergeCell ref="M390:AA390"/>
    <mergeCell ref="E391:G391"/>
    <mergeCell ref="D392:G392"/>
    <mergeCell ref="H392:N392"/>
    <mergeCell ref="E393:G393"/>
    <mergeCell ref="H393:K393"/>
    <mergeCell ref="L393:N393"/>
    <mergeCell ref="E394:G394"/>
    <mergeCell ref="H394:K394"/>
    <mergeCell ref="L394:N394"/>
    <mergeCell ref="E395:G395"/>
    <mergeCell ref="H395:K395"/>
    <mergeCell ref="L395:N395"/>
    <mergeCell ref="E396:G396"/>
    <mergeCell ref="H396:K396"/>
    <mergeCell ref="L396:N396"/>
    <mergeCell ref="E397:G397"/>
    <mergeCell ref="H397:K397"/>
    <mergeCell ref="L397:N397"/>
    <mergeCell ref="E398:G398"/>
    <mergeCell ref="H398:K398"/>
    <mergeCell ref="L398:N398"/>
    <mergeCell ref="E399:G399"/>
    <mergeCell ref="H399:K399"/>
    <mergeCell ref="L399:N399"/>
    <mergeCell ref="E400:G400"/>
    <mergeCell ref="H400:K400"/>
    <mergeCell ref="L400:N400"/>
    <mergeCell ref="E401:G401"/>
    <mergeCell ref="H401:K401"/>
    <mergeCell ref="L401:N401"/>
    <mergeCell ref="E402:G402"/>
    <mergeCell ref="H402:K402"/>
    <mergeCell ref="L402:N402"/>
    <mergeCell ref="E403:G403"/>
    <mergeCell ref="H403:K403"/>
    <mergeCell ref="L403:N403"/>
    <mergeCell ref="E404:G404"/>
    <mergeCell ref="H404:K404"/>
    <mergeCell ref="L404:N404"/>
    <mergeCell ref="E405:G405"/>
    <mergeCell ref="H405:K405"/>
    <mergeCell ref="L405:N405"/>
    <mergeCell ref="E406:G406"/>
    <mergeCell ref="H406:K406"/>
    <mergeCell ref="L406:N406"/>
    <mergeCell ref="E407:G407"/>
    <mergeCell ref="H407:K407"/>
    <mergeCell ref="L407:N407"/>
    <mergeCell ref="E408:G408"/>
    <mergeCell ref="H408:K408"/>
    <mergeCell ref="L408:N408"/>
    <mergeCell ref="E409:G409"/>
    <mergeCell ref="H409:K409"/>
    <mergeCell ref="L409:N409"/>
    <mergeCell ref="E410:G410"/>
    <mergeCell ref="H410:K410"/>
    <mergeCell ref="L410:N410"/>
    <mergeCell ref="E411:G411"/>
    <mergeCell ref="H411:K411"/>
    <mergeCell ref="L411:N411"/>
    <mergeCell ref="E412:G412"/>
    <mergeCell ref="H412:K412"/>
    <mergeCell ref="L412:N412"/>
    <mergeCell ref="E413:G413"/>
    <mergeCell ref="H413:K413"/>
    <mergeCell ref="L413:N413"/>
    <mergeCell ref="E414:G414"/>
    <mergeCell ref="H414:K414"/>
    <mergeCell ref="L414:N414"/>
    <mergeCell ref="E415:G415"/>
    <mergeCell ref="H415:K415"/>
    <mergeCell ref="L415:N415"/>
    <mergeCell ref="E416:G416"/>
    <mergeCell ref="H416:K416"/>
    <mergeCell ref="L416:N416"/>
    <mergeCell ref="E417:G417"/>
    <mergeCell ref="H417:K417"/>
    <mergeCell ref="L417:N417"/>
    <mergeCell ref="E418:G418"/>
    <mergeCell ref="L418:N418"/>
    <mergeCell ref="D420:AA420"/>
    <mergeCell ref="D422:G422"/>
    <mergeCell ref="D423:E423"/>
    <mergeCell ref="F423:G423"/>
    <mergeCell ref="D424:E424"/>
    <mergeCell ref="F424:G424"/>
    <mergeCell ref="D425:E425"/>
    <mergeCell ref="F425:G425"/>
    <mergeCell ref="D426:E426"/>
    <mergeCell ref="F426:G426"/>
    <mergeCell ref="D427:E427"/>
    <mergeCell ref="F427:G427"/>
    <mergeCell ref="D428:E428"/>
    <mergeCell ref="F428:G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9:AA439"/>
    <mergeCell ref="D440:D442"/>
    <mergeCell ref="E440:AA442"/>
  </mergeCells>
  <conditionalFormatting sqref="D137:AA140">
    <cfRule type="expression" priority="2" aboveAverage="0" equalAverage="0" bottom="0" percent="0" rank="0" text="" dxfId="0">
      <formula>$D$136="NA"</formula>
    </cfRule>
  </conditionalFormatting>
  <conditionalFormatting sqref="D343:AA386">
    <cfRule type="expression" priority="3" aboveAverage="0" equalAverage="0" bottom="0" percent="0" rank="0" text="" dxfId="1">
      <formula>LEN($D$342)&gt;2</formula>
    </cfRule>
  </conditionalFormatting>
  <conditionalFormatting sqref="E418 K418:L418">
    <cfRule type="containsText" priority="4" operator="containsText" aboveAverage="0" equalAverage="0" bottom="0" percent="0" rank="0" text="Validado" dxfId="2">
      <formula>NOT(ISERROR(SEARCH("Validado",E418)))</formula>
    </cfRule>
  </conditionalFormatting>
  <conditionalFormatting sqref="E418 L418">
    <cfRule type="cellIs" priority="5" operator="equal" aboveAverage="0" equalAverage="0" bottom="0" percent="0" rank="0" text="" dxfId="3">
      <formula>"No es igual"</formula>
    </cfRule>
  </conditionalFormatting>
  <conditionalFormatting sqref="E369:M369">
    <cfRule type="expression" priority="6" aboveAverage="0" equalAverage="0" bottom="0" percent="0" rank="0" text="" dxfId="4">
      <formula>$E$369="ERROR"</formula>
    </cfRule>
  </conditionalFormatting>
  <conditionalFormatting sqref="D168:H168">
    <cfRule type="expression" priority="7" aboveAverage="0" equalAverage="0" bottom="0" percent="0" rank="0" text="" dxfId="5">
      <formula>LEN($D$168)&lt;2</formula>
    </cfRule>
  </conditionalFormatting>
  <conditionalFormatting sqref="D108:E108 D107:D108 E107">
    <cfRule type="expression" priority="8" aboveAverage="0" equalAverage="0" bottom="0" percent="0" rank="0" text="" dxfId="6">
      <formula>LEN(#ref!)&lt;2</formula>
    </cfRule>
  </conditionalFormatting>
  <conditionalFormatting sqref="D79:AA87">
    <cfRule type="expression" priority="9" aboveAverage="0" equalAverage="0" bottom="0" percent="0" rank="0" text="" dxfId="7">
      <formula>$D$78="NA"</formula>
    </cfRule>
  </conditionalFormatting>
  <conditionalFormatting sqref="D90:AA99">
    <cfRule type="expression" priority="10" aboveAverage="0" equalAverage="0" bottom="0" percent="0" rank="0" text="" dxfId="8">
      <formula>$D$89="NA"</formula>
    </cfRule>
  </conditionalFormatting>
  <conditionalFormatting sqref="D170:H170">
    <cfRule type="expression" priority="11" aboveAverage="0" equalAverage="0" bottom="0" percent="0" rank="0" text="" dxfId="9">
      <formula>LEN($D$170)&lt;2</formula>
    </cfRule>
  </conditionalFormatting>
  <conditionalFormatting sqref="D317:AB317">
    <cfRule type="expression" priority="12" aboveAverage="0" equalAverage="0" bottom="0" percent="0" rank="0" text="" dxfId="10">
      <formula>LEN($D$317)&lt;2</formula>
    </cfRule>
  </conditionalFormatting>
  <conditionalFormatting sqref="D290:H290">
    <cfRule type="expression" priority="13" aboveAverage="0" equalAverage="0" bottom="0" percent="0" rank="0" text="" dxfId="11">
      <formula>LEN($D$290)&lt;2</formula>
    </cfRule>
  </conditionalFormatting>
  <conditionalFormatting sqref="D292:H293">
    <cfRule type="expression" priority="14" aboveAverage="0" equalAverage="0" bottom="0" percent="0" rank="0" text="" dxfId="12">
      <formula>LEN($D$292)&lt;2</formula>
    </cfRule>
  </conditionalFormatting>
  <conditionalFormatting sqref="D258:AA259 D260:I260 D261:H261">
    <cfRule type="expression" priority="15" aboveAverage="0" equalAverage="0" bottom="0" percent="0" rank="0" text="" dxfId="13">
      <formula>$E$257=0</formula>
    </cfRule>
  </conditionalFormatting>
  <conditionalFormatting sqref="D255:H256">
    <cfRule type="expression" priority="16" aboveAverage="0" equalAverage="0" bottom="0" percent="0" rank="0" text="" dxfId="14">
      <formula>$E$254=0</formula>
    </cfRule>
  </conditionalFormatting>
  <conditionalFormatting sqref="D249:AB249">
    <cfRule type="expression" priority="17" aboveAverage="0" equalAverage="0" bottom="0" percent="0" rank="0" text="" dxfId="15">
      <formula>LEN($D$249)&lt;2</formula>
    </cfRule>
  </conditionalFormatting>
  <conditionalFormatting sqref="D233:AB244">
    <cfRule type="expression" priority="18" aboveAverage="0" equalAverage="0" bottom="0" percent="0" rank="0" text="" dxfId="16">
      <formula>$D$234="NA"</formula>
    </cfRule>
  </conditionalFormatting>
  <conditionalFormatting sqref="D222:AB227">
    <cfRule type="expression" priority="19" aboveAverage="0" equalAverage="0" bottom="0" percent="0" rank="0" text="" dxfId="17">
      <formula>$D$221="NA"</formula>
    </cfRule>
  </conditionalFormatting>
  <conditionalFormatting sqref="D205:AB219">
    <cfRule type="expression" priority="20" aboveAverage="0" equalAverage="0" bottom="0" percent="0" rank="0" text="" dxfId="18">
      <formula>$D$204="NA"</formula>
    </cfRule>
  </conditionalFormatting>
  <conditionalFormatting sqref="D187:AB202">
    <cfRule type="expression" priority="21" aboveAverage="0" equalAverage="0" bottom="0" percent="0" rank="0" text="" dxfId="19">
      <formula>$D$186="NA"</formula>
    </cfRule>
  </conditionalFormatting>
  <conditionalFormatting sqref="D173:AB184">
    <cfRule type="expression" priority="22" aboveAverage="0" equalAverage="0" bottom="0" percent="0" rank="0" text="" dxfId="20">
      <formula>$D$172="NA"</formula>
    </cfRule>
  </conditionalFormatting>
  <conditionalFormatting sqref="D164:AB164 D165:H165">
    <cfRule type="expression" priority="23" aboveAverage="0" equalAverage="0" bottom="0" percent="0" rank="0" text="" dxfId="21">
      <formula>OR($E$163="No",LEN($E$163)&lt;1)</formula>
    </cfRule>
  </conditionalFormatting>
  <conditionalFormatting sqref="D162:H162 D167:H167">
    <cfRule type="expression" priority="24" aboveAverage="0" equalAverage="0" bottom="0" percent="0" rank="0" text="" dxfId="22">
      <formula>LEN($D$162)&lt;2</formula>
    </cfRule>
  </conditionalFormatting>
  <conditionalFormatting sqref="D149:AB151">
    <cfRule type="expression" priority="25" aboveAverage="0" equalAverage="0" bottom="0" percent="0" rank="0" text="" dxfId="23">
      <formula>$D$148="NA"</formula>
    </cfRule>
  </conditionalFormatting>
  <conditionalFormatting sqref="D143:AB146">
    <cfRule type="expression" priority="26" aboveAverage="0" equalAverage="0" bottom="0" percent="0" rank="0" text="" dxfId="24">
      <formula>$D$142="NA"</formula>
    </cfRule>
  </conditionalFormatting>
  <conditionalFormatting sqref="D129:AB134">
    <cfRule type="expression" priority="27" aboveAverage="0" equalAverage="0" bottom="0" percent="0" rank="0" text="" dxfId="25">
      <formula>$D$128="NA"</formula>
    </cfRule>
  </conditionalFormatting>
  <conditionalFormatting sqref="D122:AA126">
    <cfRule type="expression" priority="28" aboveAverage="0" equalAverage="0" bottom="0" percent="0" rank="0" text="" dxfId="26">
      <formula>$D$121="NA"</formula>
    </cfRule>
  </conditionalFormatting>
  <conditionalFormatting sqref="D102:AB102 D109:AB116 D117:H119">
    <cfRule type="expression" priority="29" aboveAverage="0" equalAverage="0" bottom="0" percent="0" rank="0" text="" dxfId="27">
      <formula>LEN($D$102)&lt;3</formula>
    </cfRule>
  </conditionalFormatting>
  <conditionalFormatting sqref="D102:AB102">
    <cfRule type="expression" priority="30" aboveAverage="0" equalAverage="0" bottom="0" percent="0" rank="0" text="" dxfId="28">
      <formula>"OR($D$39=""Persona Física"",LEN($D$39)&lt;1)"</formula>
    </cfRule>
  </conditionalFormatting>
  <conditionalFormatting sqref="D50:AA51">
    <cfRule type="expression" priority="31" aboveAverage="0" equalAverage="0" bottom="0" percent="0" rank="0" text="" dxfId="29">
      <formula>OR($E$49="No",LEN($E$49)&lt;1)</formula>
    </cfRule>
  </conditionalFormatting>
  <dataValidations count="38">
    <dataValidation allowBlank="true" errorStyle="stop" operator="between" showDropDown="false" showErrorMessage="true" showInputMessage="true" sqref="E48:H48" type="list">
      <formula1>"Persona Física,Persona Jurídica"</formula1>
      <formula2>0</formula2>
    </dataValidation>
    <dataValidation allowBlank="true" errorStyle="stop" operator="between" showDropDown="false" showErrorMessage="true" showInputMessage="true" sqref="E49:H49 E63:H63 E75:H75 E118:H119 E163:H163 E166:H167 E168:E169 E232:H232 E242:X242 E248:H248 E289:H289 E291:H291" type="list">
      <formula1>"Sí,No"</formula1>
      <formula2>0</formula2>
    </dataValidation>
    <dataValidation allowBlank="true" errorStyle="stop" operator="between" showDropDown="false" showErrorMessage="true" showInputMessage="true" sqref="E73:H73" type="list">
      <formula1>"Oficina,Planta,Oficina de Ventas,Depósito"</formula1>
      <formula2>0</formula2>
    </dataValidation>
    <dataValidation allowBlank="true" errorStyle="stop" operator="between" showDropDown="false" showErrorMessage="true" showInputMessage="true" sqref="E74:H74" type="list">
      <formula1>"Es propia,Se alquila,Es prestada"</formula1>
      <formula2>0</formula2>
    </dataValidation>
    <dataValidation allowBlank="true" errorStyle="stop" operator="greaterThan" showDropDown="false" showErrorMessage="true" showInputMessage="true" sqref="E76:H77" type="whole">
      <formula1>1500</formula1>
      <formula2>0</formula2>
    </dataValidation>
    <dataValidation allowBlank="false" errorStyle="stop" operator="greaterThanOrEqual" showDropDown="false" showErrorMessage="true" showInputMessage="true" sqref="E104:AB105 AB106:AB108 E107:E108" type="date">
      <formula1>1</formula1>
      <formula2>0</formula2>
    </dataValidation>
    <dataValidation allowBlank="true" errorStyle="stop" operator="greaterThanOrEqual" showDropDown="false" showErrorMessage="true" showInputMessage="true" sqref="E131:X131 E135 I135 M135 Q135 U135" type="whole">
      <formula1>1</formula1>
      <formula2>0</formula2>
    </dataValidation>
    <dataValidation allowBlank="true" errorStyle="stop" operator="between" showDropDown="false" showErrorMessage="true" showInputMessage="true" sqref="E255:H255 E260:H260" type="list">
      <formula1>"Crédito,Contado,Crédito y contado,Otro"</formula1>
      <formula2>0</formula2>
    </dataValidation>
    <dataValidation allowBlank="true" errorStyle="stop" operator="between" showDropDown="false" showErrorMessage="true" showInputMessage="true" sqref="E184:H184 E202:AB202 AB203 E219:AB219" type="list">
      <formula1>"Servicios Administrativos,Comparte Instalaciones,Ventas Intercompañías"</formula1>
      <formula2>0</formula2>
    </dataValidation>
    <dataValidation allowBlank="true" errorStyle="stop" operator="between" showDropDown="false" showErrorMessage="true" showInputMessage="true" sqref="E231:H231" type="list">
      <formula1>"Mayorista,Fabricación/Elaboración,Detallista,Comisionista,Maquila,Servicios"</formula1>
      <formula2>0</formula2>
    </dataValidation>
    <dataValidation allowBlank="true" errorStyle="stop" operator="between" showDropDown="false" showErrorMessage="true" showInputMessage="true" sqref="E226:AA226" type="list">
      <formula1>"Almacén,Depósito,Escuela,Fábrica,Garaje,Granja,Huerta,Laboratorio,Oficina,Oficina de representación,Oficina de ventas,Planta,Rancho,Sala de exhibición,Sede social,Taller,Tienda"</formula1>
      <formula2>0</formula2>
    </dataValidation>
    <dataValidation allowBlank="true" errorStyle="stop" operator="between" showDropDown="false" showErrorMessage="true" showInputMessage="true" sqref="E318:H318" type="list">
      <formula1>"La temporada alta es de,La temporada alta es durante,La temporada baja es durante,La temporada es variable según la región,Las ventas se mantienen a lo largo de todo el año"</formula1>
      <formula2>0</formula2>
    </dataValidation>
    <dataValidation allowBlank="true" errorStyle="stop" operator="between" showDropDown="false" showErrorMessage="true" showInputMessage="true" sqref="E319:H319" type="list">
      <formula1>"Carnaval,días feriados,el invierno,el otoño,el verano,la época de turismo,la primavera,las vacaciones escolares,Navidad,época de declaración de rentas,Semana Santa,otro"</formula1>
      <formula2>0</formula2>
    </dataValidation>
    <dataValidation allowBlank="true" errorStyle="stop" operator="between" showDropDown="false" showErrorMessage="true" showInputMessage="true" sqref="E340:H340" type="list">
      <formula1>"Consolidado,Provisorio,Fiscal,Dictaminado,Auditado"</formula1>
      <formula2>0</formula2>
    </dataValidation>
    <dataValidation allowBlank="true" errorStyle="stop" operator="between" showDropDown="false" showErrorMessage="true" showInputMessage="true" sqref="E341:H341" type="list">
      <formula1>"Pesos,Miles de pesos,Millones de pesos"</formula1>
      <formula2>0</formula2>
    </dataValidation>
    <dataValidation allowBlank="true" errorStyle="stop" operator="between" showDropDown="false" showErrorMessage="true" showInputMessage="true" sqref="E273:X273" type="list">
      <formula1>"Propio,Arrendado"</formula1>
      <formula2>0</formula2>
    </dataValidation>
    <dataValidation allowBlank="true" errorStyle="stop" operator="greaterThanOrEqual" showDropDown="false" showErrorMessage="true" showInputMessage="true" sqref="E132:X133" type="none">
      <formula1>0</formula1>
      <formula2>0</formula2>
    </dataValidation>
    <dataValidation allowBlank="true" errorStyle="stop" operator="greaterThan" showDropDown="false" showErrorMessage="true" showInputMessage="true" sqref="E227:AA227 R304:AB304" type="whole">
      <formula1>0</formula1>
      <formula2>0</formula2>
    </dataValidation>
    <dataValidation allowBlank="true" errorStyle="stop" operator="between" showDropDown="false" showErrorMessage="true" showInputMessage="true" sqref="D123:D125" type="list">
      <formula1>"FUSION,ESCISION"</formula1>
      <formula2>0</formula2>
    </dataValidation>
    <dataValidation allowBlank="true" errorStyle="stop" operator="greaterThanOrEqual" showDropDown="false" showErrorMessage="true" showInputMessage="true" sqref="E134:X134" type="date">
      <formula1>32874</formula1>
      <formula2>0</formula2>
    </dataValidation>
    <dataValidation allowBlank="true" errorStyle="stop" operator="greaterThan" showDropDown="false" showErrorMessage="true" showInputMessage="true" sqref="E137:AA140 E145:X146" type="decimal">
      <formula1>-1</formula1>
      <formula2>0</formula2>
    </dataValidation>
    <dataValidation allowBlank="true" errorStyle="stop" operator="between" showDropDown="false" showErrorMessage="true" showInputMessage="true" sqref="E236:X236" type="list">
      <formula1>"Activa,Inactiva,Concluida"</formula1>
      <formula2>0</formula2>
    </dataValidation>
    <dataValidation allowBlank="true" errorStyle="stop" operator="greaterThan" showDropDown="false" showErrorMessage="true" showInputMessage="true" sqref="Y123:AA123 E237:X237" type="date">
      <formula1>1</formula1>
      <formula2>0</formula2>
    </dataValidation>
    <dataValidation allowBlank="true" errorStyle="stop" operator="between" showDropDown="false" showErrorMessage="true" showInputMessage="true" sqref="E243:X243" type="list">
      <formula1>"Cumplimiento,Materiales,Pago,Pago y cumpliemiento,Responsabilidad civil"</formula1>
      <formula2>0</formula2>
    </dataValidation>
    <dataValidation allowBlank="true" errorStyle="stop" operator="between" showDropDown="false" showErrorMessage="true" showInputMessage="true" sqref="E239:X239" type="list">
      <formula1>"Compañía Privada,Ente Estatal,Gobierno Regional"</formula1>
      <formula2>0</formula2>
    </dataValidation>
    <dataValidation allowBlank="true" errorStyle="stop" operator="greaterThan" showDropDown="false" showErrorMessage="true" showInputMessage="true" sqref="E282:H286 E287" type="whole">
      <formula1>-1</formula1>
      <formula2>0</formula2>
    </dataValidation>
    <dataValidation allowBlank="true" errorStyle="stop" operator="greaterThan" showDropDown="false" showErrorMessage="true" showInputMessage="true" sqref="E345:M353 S345:AA353 E394:G403 L394:N403 E405:G407 L405:N406 L408:N408 E409:G411 L410:N414 E413:G416 F424:G425 F427:G428" type="decimal">
      <formula1>-10000000000000</formula1>
      <formula2>0</formula2>
    </dataValidation>
    <dataValidation allowBlank="true" errorStyle="stop" operator="greaterThan" showDropDown="false" showErrorMessage="true" showInputMessage="true" sqref="E356:M358 S356:AA357 E360:M362 S361:AA365" type="decimal">
      <formula1>-100000000000</formula1>
      <formula2>0</formula2>
    </dataValidation>
    <dataValidation allowBlank="true" errorStyle="stop" operator="greaterThan" showDropDown="false" showErrorMessage="true" showInputMessage="true" sqref="E364:M367 F374:K375 F377:K378 F380:K382 F384:K384" type="whole">
      <formula1>-100000000000</formula1>
      <formula2>0</formula2>
    </dataValidation>
    <dataValidation allowBlank="true" errorStyle="stop" operator="between" showDropDown="false" showErrorMessage="true" showInputMessage="true" sqref="G390" type="list">
      <formula1>"Enero,Febrero,Marzo,Abril,Mayo,Junio,Julio,Agosto,Septiembre,Octubre,Noviembre"</formula1>
      <formula2>0</formula2>
    </dataValidation>
    <dataValidation allowBlank="true" errorStyle="stop" operator="between" showDropDown="false" showErrorMessage="true" showInputMessage="true" sqref="E390" type="list">
      <formula1>"28,30,31"</formula1>
      <formula2>0</formula2>
    </dataValidation>
    <dataValidation allowBlank="true" errorStyle="stop" operator="between" showDropDown="false" showErrorMessage="true" showInputMessage="false" sqref="E391" type="list">
      <formula1>"Pesos,Miles de Pesos,Millones de Pesos"</formula1>
      <formula2>0</formula2>
    </dataValidation>
    <dataValidation allowBlank="true" errorStyle="stop" operator="greaterThan" showDropDown="false" showErrorMessage="true" showInputMessage="true" sqref="F430:G432 F434:G434" type="decimal">
      <formula1>-10000000000</formula1>
      <formula2>0</formula2>
    </dataValidation>
    <dataValidation allowBlank="true" errorStyle="stop" operator="lessThan" showDropDown="false" showErrorMessage="true" showInputMessage="true" sqref="Y124:AA125" type="date">
      <formula1>1</formula1>
      <formula2>0</formula2>
    </dataValidation>
    <dataValidation allowBlank="true" errorStyle="stop" operator="lessThanOrEqual" showDropDown="false" showErrorMessage="true" showInputMessage="true" sqref="E189:AA189" type="decimal">
      <formula1>1</formula1>
      <formula2>0</formula2>
    </dataValidation>
    <dataValidation allowBlank="true" errorStyle="stop" operator="greaterThan" showDropDown="false" showErrorMessage="true" showInputMessage="true" sqref="E200:AA200" type="whole">
      <formula1>1000</formula1>
      <formula2>0</formula2>
    </dataValidation>
    <dataValidation allowBlank="true" errorStyle="stop" operator="greaterThan" showDropDown="false" showErrorMessage="true" showInputMessage="true" sqref="E217:AA217" type="whole">
      <formula1>12</formula1>
      <formula2>0</formula2>
    </dataValidation>
    <dataValidation allowBlank="false" errorStyle="stop" operator="greaterThanOrEqual" showDropDown="false" showErrorMessage="true" showInputMessage="true" sqref="E106:AA106" type="none">
      <formula1>0</formula1>
      <formula2>0</formula2>
    </dataValidation>
  </dataValidations>
  <hyperlinks>
    <hyperlink ref="D6" r:id="rId1" display="Quiénes somos"/>
    <hyperlink ref="E6" r:id="rId2" display="Número D-U-N-S"/>
    <hyperlink ref="H6" r:id="rId3" display="Política de privacidad"/>
    <hyperlink ref="E157" r:id="rId4" display="info@bioenlace.i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1" sqref="E32:AA34 A14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0" width="78.11"/>
  </cols>
  <sheetData>
    <row r="1" customFormat="false" ht="14.25" hidden="false" customHeight="false" outlineLevel="0" collapsed="false">
      <c r="A1" s="0" t="s">
        <v>386</v>
      </c>
    </row>
    <row r="2" customFormat="false" ht="14.25" hidden="false" customHeight="false" outlineLevel="0" collapsed="false">
      <c r="A2" s="0" t="s">
        <v>387</v>
      </c>
    </row>
    <row r="3" customFormat="false" ht="14.25" hidden="false" customHeight="false" outlineLevel="0" collapsed="false">
      <c r="A3" s="0" t="s">
        <v>388</v>
      </c>
    </row>
    <row r="4" customFormat="false" ht="14.25" hidden="false" customHeight="false" outlineLevel="0" collapsed="false">
      <c r="A4" s="0" t="s">
        <v>389</v>
      </c>
    </row>
    <row r="5" customFormat="false" ht="14.25" hidden="false" customHeight="false" outlineLevel="0" collapsed="false">
      <c r="A5" s="0" t="s">
        <v>390</v>
      </c>
    </row>
    <row r="6" customFormat="false" ht="14.25" hidden="false" customHeight="false" outlineLevel="0" collapsed="false">
      <c r="A6" s="0" t="s">
        <v>391</v>
      </c>
    </row>
    <row r="7" customFormat="false" ht="14.25" hidden="false" customHeight="false" outlineLevel="0" collapsed="false">
      <c r="A7" s="0" t="s">
        <v>392</v>
      </c>
    </row>
    <row r="8" customFormat="false" ht="14.25" hidden="false" customHeight="false" outlineLevel="0" collapsed="false">
      <c r="A8" s="0" t="s">
        <v>393</v>
      </c>
    </row>
    <row r="9" customFormat="false" ht="14.25" hidden="false" customHeight="false" outlineLevel="0" collapsed="false">
      <c r="A9" s="0" t="s">
        <v>394</v>
      </c>
    </row>
    <row r="10" customFormat="false" ht="14.25" hidden="false" customHeight="false" outlineLevel="0" collapsed="false">
      <c r="A10" s="0" t="s">
        <v>395</v>
      </c>
    </row>
    <row r="11" customFormat="false" ht="14.25" hidden="false" customHeight="false" outlineLevel="0" collapsed="false">
      <c r="A11" s="0" t="s">
        <v>396</v>
      </c>
    </row>
    <row r="12" customFormat="false" ht="14.25" hidden="false" customHeight="false" outlineLevel="0" collapsed="false">
      <c r="A12" s="0" t="s">
        <v>397</v>
      </c>
    </row>
    <row r="19" customFormat="false" ht="14.25" hidden="false" customHeight="false" outlineLevel="0" collapsed="false">
      <c r="A19" s="425" t="s">
        <v>398</v>
      </c>
    </row>
    <row r="20" customFormat="false" ht="14.25" hidden="false" customHeight="false" outlineLevel="0" collapsed="false">
      <c r="A20" s="0" t="s">
        <v>399</v>
      </c>
    </row>
    <row r="21" customFormat="false" ht="14.25" hidden="false" customHeight="false" outlineLevel="0" collapsed="false">
      <c r="A21" s="0" t="s">
        <v>400</v>
      </c>
    </row>
    <row r="22" customFormat="false" ht="14.25" hidden="false" customHeight="false" outlineLevel="0" collapsed="false">
      <c r="A22" s="0" t="s">
        <v>401</v>
      </c>
    </row>
    <row r="23" customFormat="false" ht="14.25" hidden="false" customHeight="false" outlineLevel="0" collapsed="false">
      <c r="A23" s="0" t="s">
        <v>402</v>
      </c>
    </row>
    <row r="24" customFormat="false" ht="14.25" hidden="false" customHeight="false" outlineLevel="0" collapsed="false">
      <c r="A24" s="0" t="s">
        <v>403</v>
      </c>
    </row>
    <row r="25" customFormat="false" ht="14.25" hidden="false" customHeight="false" outlineLevel="0" collapsed="false">
      <c r="A25" s="0" t="s">
        <v>404</v>
      </c>
    </row>
    <row r="26" customFormat="false" ht="14.25" hidden="false" customHeight="false" outlineLevel="0" collapsed="false">
      <c r="A26" s="0" t="s">
        <v>405</v>
      </c>
    </row>
    <row r="27" customFormat="false" ht="14.25" hidden="false" customHeight="false" outlineLevel="0" collapsed="false">
      <c r="A27" s="0" t="s">
        <v>406</v>
      </c>
    </row>
    <row r="28" customFormat="false" ht="14.25" hidden="false" customHeight="false" outlineLevel="0" collapsed="false">
      <c r="A28" s="0" t="s">
        <v>407</v>
      </c>
    </row>
    <row r="29" customFormat="false" ht="14.25" hidden="false" customHeight="false" outlineLevel="0" collapsed="false">
      <c r="A29" s="0" t="s">
        <v>408</v>
      </c>
    </row>
    <row r="30" customFormat="false" ht="14.25" hidden="false" customHeight="false" outlineLevel="0" collapsed="false">
      <c r="A30" s="0" t="s">
        <v>409</v>
      </c>
    </row>
    <row r="31" customFormat="false" ht="14.25" hidden="false" customHeight="false" outlineLevel="0" collapsed="false">
      <c r="A31" s="0" t="s">
        <v>410</v>
      </c>
    </row>
    <row r="32" customFormat="false" ht="14.25" hidden="false" customHeight="false" outlineLevel="0" collapsed="false">
      <c r="A32" s="0" t="s">
        <v>411</v>
      </c>
    </row>
    <row r="33" customFormat="false" ht="14.25" hidden="false" customHeight="false" outlineLevel="0" collapsed="false">
      <c r="A33" s="0" t="s">
        <v>412</v>
      </c>
    </row>
    <row r="34" customFormat="false" ht="14.25" hidden="false" customHeight="false" outlineLevel="0" collapsed="false">
      <c r="A34" s="0" t="s">
        <v>413</v>
      </c>
    </row>
    <row r="35" customFormat="false" ht="14.25" hidden="false" customHeight="false" outlineLevel="0" collapsed="false">
      <c r="A35" s="0" t="s">
        <v>414</v>
      </c>
    </row>
    <row r="36" customFormat="false" ht="14.25" hidden="false" customHeight="false" outlineLevel="0" collapsed="false">
      <c r="A36" s="0" t="s">
        <v>415</v>
      </c>
    </row>
    <row r="37" customFormat="false" ht="14.25" hidden="false" customHeight="false" outlineLevel="0" collapsed="false">
      <c r="A37" s="0" t="s">
        <v>416</v>
      </c>
    </row>
    <row r="38" customFormat="false" ht="14.25" hidden="false" customHeight="false" outlineLevel="0" collapsed="false">
      <c r="A38" s="0" t="s">
        <v>417</v>
      </c>
    </row>
    <row r="39" customFormat="false" ht="14.25" hidden="false" customHeight="false" outlineLevel="0" collapsed="false">
      <c r="A39" s="0" t="s">
        <v>418</v>
      </c>
    </row>
    <row r="40" customFormat="false" ht="14.25" hidden="false" customHeight="false" outlineLevel="0" collapsed="false">
      <c r="A40" s="0" t="s">
        <v>419</v>
      </c>
    </row>
    <row r="41" customFormat="false" ht="14.25" hidden="false" customHeight="false" outlineLevel="0" collapsed="false">
      <c r="A41" s="0" t="s">
        <v>420</v>
      </c>
    </row>
    <row r="42" customFormat="false" ht="14.25" hidden="false" customHeight="false" outlineLevel="0" collapsed="false">
      <c r="A42" s="0" t="s">
        <v>421</v>
      </c>
    </row>
    <row r="43" customFormat="false" ht="14.25" hidden="false" customHeight="false" outlineLevel="0" collapsed="false">
      <c r="A43" s="0" t="s">
        <v>422</v>
      </c>
    </row>
    <row r="44" customFormat="false" ht="14.25" hidden="false" customHeight="false" outlineLevel="0" collapsed="false">
      <c r="A44" s="0" t="s">
        <v>423</v>
      </c>
    </row>
    <row r="45" customFormat="false" ht="14.25" hidden="false" customHeight="false" outlineLevel="0" collapsed="false">
      <c r="A45" s="0" t="s">
        <v>424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2022-02-13T22:46:47Z</dcterms:created>
  <dc:creator>Christian Perez</dc:creator>
  <dc:description/>
  <dc:language>es-ES</dc:language>
  <cp:lastModifiedBy/>
  <dcterms:modified xsi:type="dcterms:W3CDTF">2026-08-21T11:22:56Z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